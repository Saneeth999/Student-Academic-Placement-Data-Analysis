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drawings/drawing10.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Dell\Downloads\New folder (2)\New folder\"/>
    </mc:Choice>
  </mc:AlternateContent>
  <xr:revisionPtr revIDLastSave="0" documentId="8_{34B52F02-6349-4B27-8A8A-5E81AFFCD885}" xr6:coauthVersionLast="47" xr6:coauthVersionMax="47" xr10:uidLastSave="{00000000-0000-0000-0000-000000000000}"/>
  <bookViews>
    <workbookView xWindow="-110" yWindow="-110" windowWidth="19420" windowHeight="10300" firstSheet="6" activeTab="9" xr2:uid="{9FAC9ECC-8D24-4B07-B9CD-7B6B3BF09961}"/>
  </bookViews>
  <sheets>
    <sheet name="Total students by branch" sheetId="3" r:id="rId1"/>
    <sheet name="Branch by Pass&amp;Failed" sheetId="4" r:id="rId2"/>
    <sheet name="Sum of Condonation by Branch" sheetId="5" r:id="rId3"/>
    <sheet name="Passed by Year" sheetId="11" r:id="rId4"/>
    <sheet name="Pass&amp;Fail percentage  by colleg" sheetId="12" r:id="rId5"/>
    <sheet name="Sum of Count by Most Failed Sub" sheetId="13" r:id="rId6"/>
    <sheet name="SVCET DASHBOARD" sheetId="15" r:id="rId7"/>
    <sheet name="Total Count by Location" sheetId="14" r:id="rId8"/>
    <sheet name="Sheet5" sheetId="16" r:id="rId9"/>
    <sheet name="Svcet" sheetId="2" r:id="rId10"/>
  </sheets>
  <definedNames>
    <definedName name="_xlcn.WorksheetConnection_SvcetStudentsDashboard.xlsxSheet11" hidden="1">Sheet1[]</definedName>
    <definedName name="ExternalData_1" localSheetId="9" hidden="1">Svcet!$A$1:$G$1003</definedName>
    <definedName name="Slicer_Branch">#N/A</definedName>
    <definedName name="Slicer_Condonation_Status">#N/A</definedName>
    <definedName name="Slicer_Detention_Status">#N/A</definedName>
    <definedName name="Slicer_Failed_Most_Sub">#N/A</definedName>
    <definedName name="Slicer_Location">#N/A</definedName>
    <definedName name="Slicer_Result">#N/A</definedName>
    <definedName name="Slicer_Studying_year">#N/A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 name="Sheet1" connection="WorksheetConnection_Svcet Students Dashboard.xlsx!Sheet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7" i="2" l="1"/>
  <c r="N40" i="2"/>
  <c r="P141" i="2" a="1"/>
  <c r="P141" i="2" s="1"/>
  <c r="P156" i="2"/>
  <c r="P49" i="2"/>
  <c r="L1001" i="2"/>
  <c r="L1000" i="2"/>
  <c r="L992" i="2"/>
  <c r="L991" i="2"/>
  <c r="L988" i="2"/>
  <c r="L982" i="2"/>
  <c r="L981" i="2"/>
  <c r="L980" i="2"/>
  <c r="L976" i="2"/>
  <c r="L971" i="2"/>
  <c r="L968" i="2"/>
  <c r="L956" i="2"/>
  <c r="L955" i="2"/>
  <c r="L950" i="2"/>
  <c r="L948" i="2"/>
  <c r="L943" i="2"/>
  <c r="L940" i="2"/>
  <c r="L938" i="2"/>
  <c r="L924" i="2"/>
  <c r="L923" i="2"/>
  <c r="L922" i="2"/>
  <c r="L918" i="2"/>
  <c r="L917" i="2"/>
  <c r="L911" i="2"/>
  <c r="L910" i="2"/>
  <c r="L909" i="2"/>
  <c r="L893" i="2"/>
  <c r="L892" i="2"/>
  <c r="L891" i="2"/>
  <c r="L883" i="2"/>
  <c r="L879" i="2"/>
  <c r="L877" i="2"/>
  <c r="L869" i="2"/>
  <c r="L865" i="2"/>
  <c r="L861" i="2"/>
  <c r="L860" i="2"/>
  <c r="L859" i="2"/>
  <c r="L858" i="2"/>
  <c r="L854" i="2"/>
  <c r="L851" i="2"/>
  <c r="L849" i="2"/>
  <c r="L846" i="2"/>
  <c r="L845" i="2"/>
  <c r="L843" i="2"/>
  <c r="L842" i="2"/>
  <c r="L839" i="2"/>
  <c r="L838" i="2"/>
  <c r="L830" i="2"/>
  <c r="L825" i="2"/>
  <c r="L822" i="2"/>
  <c r="L818" i="2"/>
  <c r="L814" i="2"/>
  <c r="L810" i="2"/>
  <c r="L802" i="2"/>
  <c r="L799" i="2"/>
  <c r="L797" i="2"/>
  <c r="L795" i="2"/>
  <c r="L790" i="2"/>
  <c r="L784" i="2"/>
  <c r="L781" i="2"/>
  <c r="L772" i="2"/>
  <c r="L769" i="2"/>
  <c r="L765" i="2"/>
  <c r="L754" i="2"/>
  <c r="L752" i="2"/>
  <c r="L743" i="2"/>
  <c r="L737" i="2"/>
  <c r="L729" i="2"/>
  <c r="L728" i="2"/>
  <c r="L717" i="2"/>
  <c r="L714" i="2"/>
  <c r="L710" i="2"/>
  <c r="L704" i="2"/>
  <c r="L694" i="2"/>
  <c r="L686" i="2"/>
  <c r="L684" i="2"/>
  <c r="L681" i="2"/>
  <c r="L680" i="2"/>
  <c r="L675" i="2"/>
  <c r="L665" i="2"/>
  <c r="L661" i="2"/>
  <c r="L660" i="2"/>
  <c r="L658" i="2"/>
  <c r="L651" i="2"/>
  <c r="L647" i="2"/>
  <c r="L646" i="2"/>
  <c r="L643" i="2"/>
  <c r="L642" i="2"/>
  <c r="L641" i="2"/>
  <c r="L633" i="2"/>
  <c r="L632" i="2"/>
  <c r="L631" i="2"/>
  <c r="L628" i="2"/>
  <c r="L620" i="2"/>
  <c r="L613" i="2"/>
  <c r="L612" i="2"/>
  <c r="L610" i="2"/>
  <c r="L606" i="2"/>
  <c r="L605" i="2"/>
  <c r="L602" i="2"/>
  <c r="L601" i="2"/>
  <c r="L596" i="2"/>
  <c r="L587" i="2"/>
  <c r="L584" i="2"/>
  <c r="L575" i="2"/>
  <c r="L565" i="2"/>
  <c r="L564" i="2"/>
  <c r="L562" i="2"/>
  <c r="L554" i="2"/>
  <c r="L553" i="2"/>
  <c r="L539" i="2"/>
  <c r="L528" i="2"/>
  <c r="L526" i="2"/>
  <c r="L521" i="2"/>
  <c r="L517" i="2"/>
  <c r="L515" i="2"/>
  <c r="L513" i="2"/>
  <c r="L511" i="2"/>
  <c r="L507" i="2"/>
  <c r="L502" i="2"/>
  <c r="L491" i="2"/>
  <c r="L489" i="2"/>
  <c r="L488" i="2"/>
  <c r="L482" i="2"/>
  <c r="L478" i="2"/>
  <c r="L476" i="2"/>
  <c r="L473" i="2"/>
  <c r="L472" i="2"/>
  <c r="L468" i="2"/>
  <c r="L467" i="2"/>
  <c r="L462" i="2"/>
  <c r="L458" i="2"/>
  <c r="L449" i="2"/>
  <c r="L447" i="2"/>
  <c r="L445" i="2"/>
  <c r="L443" i="2"/>
  <c r="L442" i="2"/>
  <c r="L429" i="2"/>
  <c r="L424" i="2"/>
  <c r="L422" i="2"/>
  <c r="L416" i="2"/>
  <c r="L414" i="2"/>
  <c r="L412" i="2"/>
  <c r="L393" i="2"/>
  <c r="L392" i="2"/>
  <c r="L389" i="2"/>
  <c r="L386" i="2"/>
  <c r="L384" i="2"/>
  <c r="L381" i="2"/>
  <c r="L375" i="2"/>
  <c r="L366" i="2"/>
  <c r="L359" i="2"/>
  <c r="L357" i="2"/>
  <c r="L352" i="2"/>
  <c r="L344" i="2"/>
  <c r="L340" i="2"/>
  <c r="L332" i="2"/>
  <c r="L322" i="2"/>
  <c r="L321" i="2"/>
  <c r="L318" i="2"/>
  <c r="L314" i="2"/>
  <c r="L309" i="2"/>
  <c r="L304" i="2"/>
  <c r="L299" i="2"/>
  <c r="L296" i="2"/>
  <c r="L295" i="2"/>
  <c r="L294" i="2"/>
  <c r="L289" i="2"/>
  <c r="L286" i="2"/>
  <c r="L282" i="2"/>
  <c r="L270" i="2"/>
  <c r="L269" i="2"/>
  <c r="L262" i="2"/>
  <c r="L259" i="2"/>
  <c r="L255" i="2"/>
  <c r="L253" i="2"/>
  <c r="L244" i="2"/>
  <c r="L234" i="2"/>
  <c r="L233" i="2"/>
  <c r="L226" i="2"/>
  <c r="L225" i="2"/>
  <c r="L223" i="2"/>
  <c r="L211" i="2"/>
  <c r="L206" i="2"/>
  <c r="L194" i="2"/>
  <c r="L188" i="2"/>
  <c r="L186" i="2"/>
  <c r="L185" i="2"/>
  <c r="L183" i="2"/>
  <c r="L179" i="2"/>
  <c r="L161" i="2"/>
  <c r="L156" i="2"/>
  <c r="L151" i="2"/>
  <c r="L150" i="2"/>
  <c r="L145" i="2"/>
  <c r="L143" i="2"/>
  <c r="L141" i="2"/>
  <c r="L138" i="2"/>
  <c r="L137" i="2"/>
  <c r="L133" i="2"/>
  <c r="L132" i="2"/>
  <c r="L122" i="2"/>
  <c r="L120" i="2"/>
  <c r="L115" i="2"/>
  <c r="L114" i="2"/>
  <c r="L113" i="2"/>
  <c r="L99" i="2"/>
  <c r="L92" i="2"/>
  <c r="L91" i="2"/>
  <c r="L90" i="2"/>
  <c r="L88" i="2"/>
  <c r="L87" i="2"/>
  <c r="L86" i="2"/>
  <c r="L85" i="2"/>
  <c r="L83" i="2"/>
  <c r="L82" i="2"/>
  <c r="L78" i="2"/>
  <c r="L75" i="2"/>
  <c r="L68" i="2"/>
  <c r="L67" i="2"/>
  <c r="L66" i="2"/>
  <c r="L64" i="2"/>
  <c r="L63" i="2"/>
  <c r="L57" i="2"/>
  <c r="L55" i="2"/>
  <c r="L50" i="2"/>
  <c r="L49" i="2"/>
  <c r="L47" i="2"/>
  <c r="L43" i="2"/>
  <c r="L40" i="2"/>
  <c r="L38" i="2"/>
  <c r="L36" i="2"/>
  <c r="L33" i="2"/>
  <c r="L32" i="2"/>
  <c r="L27" i="2"/>
  <c r="L24" i="2"/>
  <c r="L17" i="2"/>
  <c r="L15" i="2"/>
  <c r="L12" i="2"/>
  <c r="L10" i="2"/>
  <c r="L7" i="2"/>
  <c r="L5" i="2"/>
  <c r="L4" i="2"/>
  <c r="O17" i="2" s="1"/>
  <c r="O83" i="2"/>
  <c r="O91" i="2"/>
  <c r="H1002" i="2"/>
  <c r="H1003" i="2"/>
  <c r="K1001" i="2"/>
  <c r="K1000" i="2"/>
  <c r="K992" i="2"/>
  <c r="K991" i="2"/>
  <c r="K988" i="2"/>
  <c r="K982" i="2"/>
  <c r="K981" i="2"/>
  <c r="K980" i="2"/>
  <c r="K976" i="2"/>
  <c r="K971" i="2"/>
  <c r="K968" i="2"/>
  <c r="K956" i="2"/>
  <c r="K955" i="2"/>
  <c r="K950" i="2"/>
  <c r="K948" i="2"/>
  <c r="K943" i="2"/>
  <c r="K940" i="2"/>
  <c r="K938" i="2"/>
  <c r="K924" i="2"/>
  <c r="K923" i="2"/>
  <c r="K922" i="2"/>
  <c r="K918" i="2"/>
  <c r="K917" i="2"/>
  <c r="K911" i="2"/>
  <c r="K910" i="2"/>
  <c r="K909" i="2"/>
  <c r="K893" i="2"/>
  <c r="K892" i="2"/>
  <c r="K891" i="2"/>
  <c r="K883" i="2"/>
  <c r="K879" i="2"/>
  <c r="K877" i="2"/>
  <c r="K869" i="2"/>
  <c r="K865" i="2"/>
  <c r="K861" i="2"/>
  <c r="K860" i="2"/>
  <c r="K859" i="2"/>
  <c r="K858" i="2"/>
  <c r="K854" i="2"/>
  <c r="K851" i="2"/>
  <c r="K849" i="2"/>
  <c r="K846" i="2"/>
  <c r="K845" i="2"/>
  <c r="K843" i="2"/>
  <c r="K842" i="2"/>
  <c r="K839" i="2"/>
  <c r="K838" i="2"/>
  <c r="K830" i="2"/>
  <c r="K825" i="2"/>
  <c r="K822" i="2"/>
  <c r="K818" i="2"/>
  <c r="K814" i="2"/>
  <c r="K810" i="2"/>
  <c r="K802" i="2"/>
  <c r="K799" i="2"/>
  <c r="K797" i="2"/>
  <c r="K795" i="2"/>
  <c r="K790" i="2"/>
  <c r="K784" i="2"/>
  <c r="K781" i="2"/>
  <c r="K772" i="2"/>
  <c r="K769" i="2"/>
  <c r="K765" i="2"/>
  <c r="K754" i="2"/>
  <c r="K752" i="2"/>
  <c r="K743" i="2"/>
  <c r="K737" i="2"/>
  <c r="K729" i="2"/>
  <c r="K728" i="2"/>
  <c r="K717" i="2"/>
  <c r="K714" i="2"/>
  <c r="K710" i="2"/>
  <c r="K704" i="2"/>
  <c r="K694" i="2"/>
  <c r="K686" i="2"/>
  <c r="K684" i="2"/>
  <c r="K681" i="2"/>
  <c r="K680" i="2"/>
  <c r="K675" i="2"/>
  <c r="K665" i="2"/>
  <c r="K661" i="2"/>
  <c r="K660" i="2"/>
  <c r="K658" i="2"/>
  <c r="K651" i="2"/>
  <c r="K647" i="2"/>
  <c r="K646" i="2"/>
  <c r="K643" i="2"/>
  <c r="K642" i="2"/>
  <c r="K641" i="2"/>
  <c r="K633" i="2"/>
  <c r="K632" i="2"/>
  <c r="K631" i="2"/>
  <c r="K628" i="2"/>
  <c r="K620" i="2"/>
  <c r="K613" i="2"/>
  <c r="K612" i="2"/>
  <c r="K610" i="2"/>
  <c r="K606" i="2"/>
  <c r="K605" i="2"/>
  <c r="K602" i="2"/>
  <c r="K601" i="2"/>
  <c r="K596" i="2"/>
  <c r="K587" i="2"/>
  <c r="K584" i="2"/>
  <c r="K575" i="2"/>
  <c r="K565" i="2"/>
  <c r="K564" i="2"/>
  <c r="K562" i="2"/>
  <c r="K554" i="2"/>
  <c r="K553" i="2"/>
  <c r="K539" i="2"/>
  <c r="K528" i="2"/>
  <c r="K526" i="2"/>
  <c r="K521" i="2"/>
  <c r="K517" i="2"/>
  <c r="K515" i="2"/>
  <c r="K513" i="2"/>
  <c r="K511" i="2"/>
  <c r="K507" i="2"/>
  <c r="K502" i="2"/>
  <c r="K491" i="2"/>
  <c r="K489" i="2"/>
  <c r="K488" i="2"/>
  <c r="K482" i="2"/>
  <c r="K478" i="2"/>
  <c r="K476" i="2"/>
  <c r="K473" i="2"/>
  <c r="K472" i="2"/>
  <c r="K468" i="2"/>
  <c r="K467" i="2"/>
  <c r="K462" i="2"/>
  <c r="K458" i="2"/>
  <c r="K449" i="2"/>
  <c r="K447" i="2"/>
  <c r="K445" i="2"/>
  <c r="K443" i="2"/>
  <c r="K442" i="2"/>
  <c r="K429" i="2"/>
  <c r="K424" i="2"/>
  <c r="K422" i="2"/>
  <c r="K416" i="2"/>
  <c r="K414" i="2"/>
  <c r="K412" i="2"/>
  <c r="K393" i="2"/>
  <c r="K392" i="2"/>
  <c r="K389" i="2"/>
  <c r="K386" i="2"/>
  <c r="K384" i="2"/>
  <c r="K381" i="2"/>
  <c r="K375" i="2"/>
  <c r="K366" i="2"/>
  <c r="K359" i="2"/>
  <c r="K357" i="2"/>
  <c r="K352" i="2"/>
  <c r="K344" i="2"/>
  <c r="K340" i="2"/>
  <c r="K332" i="2"/>
  <c r="K322" i="2"/>
  <c r="K321" i="2"/>
  <c r="K318" i="2"/>
  <c r="K314" i="2"/>
  <c r="K309" i="2"/>
  <c r="K304" i="2"/>
  <c r="K299" i="2"/>
  <c r="K296" i="2"/>
  <c r="K295" i="2"/>
  <c r="K294" i="2"/>
  <c r="K289" i="2"/>
  <c r="K286" i="2"/>
  <c r="K282" i="2"/>
  <c r="K270" i="2"/>
  <c r="K269" i="2"/>
  <c r="K262" i="2"/>
  <c r="K259" i="2"/>
  <c r="K255" i="2"/>
  <c r="K253" i="2"/>
  <c r="K244" i="2"/>
  <c r="K234" i="2"/>
  <c r="K233" i="2"/>
  <c r="K226" i="2"/>
  <c r="K225" i="2"/>
  <c r="K223" i="2"/>
  <c r="K211" i="2"/>
  <c r="K206" i="2"/>
  <c r="K194" i="2"/>
  <c r="K188" i="2"/>
  <c r="K186" i="2"/>
  <c r="K185" i="2"/>
  <c r="K183" i="2"/>
  <c r="K179" i="2"/>
  <c r="K161" i="2"/>
  <c r="K156" i="2"/>
  <c r="K151" i="2"/>
  <c r="K150" i="2"/>
  <c r="K145" i="2"/>
  <c r="K143" i="2"/>
  <c r="K141" i="2"/>
  <c r="K138" i="2"/>
  <c r="K137" i="2"/>
  <c r="K133" i="2"/>
  <c r="K132" i="2"/>
  <c r="K122" i="2"/>
  <c r="K120" i="2"/>
  <c r="K115" i="2"/>
  <c r="K114" i="2"/>
  <c r="K113" i="2"/>
  <c r="K99" i="2"/>
  <c r="K92" i="2"/>
  <c r="K91" i="2"/>
  <c r="K90" i="2"/>
  <c r="K88" i="2"/>
  <c r="K87" i="2"/>
  <c r="K86" i="2"/>
  <c r="K85" i="2"/>
  <c r="K83" i="2"/>
  <c r="K82" i="2"/>
  <c r="K78" i="2"/>
  <c r="K75" i="2"/>
  <c r="K68" i="2"/>
  <c r="K67" i="2"/>
  <c r="K66" i="2"/>
  <c r="K64" i="2"/>
  <c r="K63" i="2"/>
  <c r="K57" i="2"/>
  <c r="K55" i="2"/>
  <c r="K50" i="2"/>
  <c r="K49" i="2"/>
  <c r="K47" i="2"/>
  <c r="K43" i="2"/>
  <c r="K40" i="2"/>
  <c r="K38" i="2"/>
  <c r="K36" i="2"/>
  <c r="K33" i="2"/>
  <c r="K32" i="2"/>
  <c r="K27" i="2"/>
  <c r="K24" i="2"/>
  <c r="K17" i="2"/>
  <c r="K15" i="2"/>
  <c r="K12" i="2"/>
  <c r="K10" i="2"/>
  <c r="K7" i="2"/>
  <c r="K5" i="2"/>
  <c r="K4"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H2" i="2"/>
  <c r="N66" i="2" s="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R27"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082D55-E51A-4C66-8A5A-F02B38641191}"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B8EC6DEC-592E-410B-8B24-E2126CD2BCF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8D10EC8-6D43-49C9-B7E3-D80806E02C3E}" name="WorksheetConnection_Svcet Students Dashboard.xlsx!Sheet1" type="102" refreshedVersion="8" minRefreshableVersion="5">
    <extLst>
      <ext xmlns:x15="http://schemas.microsoft.com/office/spreadsheetml/2010/11/main" uri="{DE250136-89BD-433C-8126-D09CA5730AF9}">
        <x15:connection id="Sheet1" autoDelete="1">
          <x15:rangePr sourceName="_xlcn.WorksheetConnection_SvcetStudentsDashboard.xlsxSheet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<sst xmlns="http://schemas.openxmlformats.org/spreadsheetml/2006/main" count="5091" uniqueCount="1081">
  <si>
    <t>Branch</t>
  </si>
  <si>
    <t>CGPA</t>
  </si>
  <si>
    <t>22781A3200</t>
  </si>
  <si>
    <t>Rahul</t>
  </si>
  <si>
    <t>CIVIL</t>
  </si>
  <si>
    <t>Pass</t>
  </si>
  <si>
    <t>2nd Year</t>
  </si>
  <si>
    <t>23781A3200</t>
  </si>
  <si>
    <t>Saneeth</t>
  </si>
  <si>
    <t>IT</t>
  </si>
  <si>
    <t>Fail</t>
  </si>
  <si>
    <t>1st Year</t>
  </si>
  <si>
    <t>Anjali</t>
  </si>
  <si>
    <t>MECH</t>
  </si>
  <si>
    <t>23781A3201</t>
  </si>
  <si>
    <t>Suresh</t>
  </si>
  <si>
    <t>23781A3202</t>
  </si>
  <si>
    <t>Pavan</t>
  </si>
  <si>
    <t>22781A3202</t>
  </si>
  <si>
    <t>Lokesh</t>
  </si>
  <si>
    <t>CSE</t>
  </si>
  <si>
    <t>23781A3203</t>
  </si>
  <si>
    <t>Kavya</t>
  </si>
  <si>
    <t>ECE</t>
  </si>
  <si>
    <t>20781A3200</t>
  </si>
  <si>
    <t>Lakshmi</t>
  </si>
  <si>
    <t>4th Year</t>
  </si>
  <si>
    <t>21781A3200</t>
  </si>
  <si>
    <t>3rd Year</t>
  </si>
  <si>
    <t>22781A3203</t>
  </si>
  <si>
    <t>Harini</t>
  </si>
  <si>
    <t>22781A3204</t>
  </si>
  <si>
    <t>Manoj</t>
  </si>
  <si>
    <t>21781A3201</t>
  </si>
  <si>
    <t>Swathi</t>
  </si>
  <si>
    <t>EEE</t>
  </si>
  <si>
    <t>20781A3201</t>
  </si>
  <si>
    <t>Deepika</t>
  </si>
  <si>
    <t>22781A3205</t>
  </si>
  <si>
    <t>Rohit</t>
  </si>
  <si>
    <t>21781A3202</t>
  </si>
  <si>
    <t>20781A3202</t>
  </si>
  <si>
    <t>23781A3204</t>
  </si>
  <si>
    <t>Nikhil</t>
  </si>
  <si>
    <t>21781A3203</t>
  </si>
  <si>
    <t>Bhavya</t>
  </si>
  <si>
    <t>21781A3204</t>
  </si>
  <si>
    <t>20781A3203</t>
  </si>
  <si>
    <t>20781A3204</t>
  </si>
  <si>
    <t>20781A3205</t>
  </si>
  <si>
    <t>20781A3206</t>
  </si>
  <si>
    <t>Tejaswini</t>
  </si>
  <si>
    <t>20781A3207</t>
  </si>
  <si>
    <t>22781A3206</t>
  </si>
  <si>
    <t>23781A3205</t>
  </si>
  <si>
    <t>23781A3206</t>
  </si>
  <si>
    <t>21781A3205</t>
  </si>
  <si>
    <t>23781A3207</t>
  </si>
  <si>
    <t>Sindhu</t>
  </si>
  <si>
    <t>20781A3208</t>
  </si>
  <si>
    <t>22781A3207</t>
  </si>
  <si>
    <t>Srinivas</t>
  </si>
  <si>
    <t>23781A3208</t>
  </si>
  <si>
    <t>Mahesh</t>
  </si>
  <si>
    <t>21781A3206</t>
  </si>
  <si>
    <t>20781A3209</t>
  </si>
  <si>
    <t>22781A3208</t>
  </si>
  <si>
    <t>23781A3209</t>
  </si>
  <si>
    <t>21781A3207</t>
  </si>
  <si>
    <t>22781A3209</t>
  </si>
  <si>
    <t>Priya</t>
  </si>
  <si>
    <t>20781A3210</t>
  </si>
  <si>
    <t>Chaitanya</t>
  </si>
  <si>
    <t>21781A3208</t>
  </si>
  <si>
    <t>21781A3209</t>
  </si>
  <si>
    <t>23781A3210</t>
  </si>
  <si>
    <t>21781A3210</t>
  </si>
  <si>
    <t>Kiran</t>
  </si>
  <si>
    <t>23781A3211</t>
  </si>
  <si>
    <t>20781A3211</t>
  </si>
  <si>
    <t>22781A3210</t>
  </si>
  <si>
    <t>20781A3212</t>
  </si>
  <si>
    <t>20781A3213</t>
  </si>
  <si>
    <t>20781A3214</t>
  </si>
  <si>
    <t>22781A3211</t>
  </si>
  <si>
    <t>23781A3212</t>
  </si>
  <si>
    <t>21781A3211</t>
  </si>
  <si>
    <t>21781A3212</t>
  </si>
  <si>
    <t>Raghava</t>
  </si>
  <si>
    <t>23781A3213</t>
  </si>
  <si>
    <t>21781A3213</t>
  </si>
  <si>
    <t>23781A3214</t>
  </si>
  <si>
    <t>21781A3214</t>
  </si>
  <si>
    <t>22781A3212</t>
  </si>
  <si>
    <t>23781A3215</t>
  </si>
  <si>
    <t>23781A3216</t>
  </si>
  <si>
    <t>21781A3215</t>
  </si>
  <si>
    <t>20781A3215</t>
  </si>
  <si>
    <t>Praveen</t>
  </si>
  <si>
    <t>23781A3217</t>
  </si>
  <si>
    <t>21781A3216</t>
  </si>
  <si>
    <t>22781A3213</t>
  </si>
  <si>
    <t>23781A3218</t>
  </si>
  <si>
    <t>Vamsi</t>
  </si>
  <si>
    <t>21781A3217</t>
  </si>
  <si>
    <t>22781A3214</t>
  </si>
  <si>
    <t>20781A3216</t>
  </si>
  <si>
    <t>Akhila</t>
  </si>
  <si>
    <t>21781A3218</t>
  </si>
  <si>
    <t>20781A3217</t>
  </si>
  <si>
    <t>Sumalatha</t>
  </si>
  <si>
    <t>21781A3219</t>
  </si>
  <si>
    <t>20781A3218</t>
  </si>
  <si>
    <t>23781A3219</t>
  </si>
  <si>
    <t>21781A3220</t>
  </si>
  <si>
    <t>23781A3220</t>
  </si>
  <si>
    <t>Divya</t>
  </si>
  <si>
    <t>23781A3221</t>
  </si>
  <si>
    <t>22781A3215</t>
  </si>
  <si>
    <t>20781A3219</t>
  </si>
  <si>
    <t>21781A3221</t>
  </si>
  <si>
    <t>20781A3220</t>
  </si>
  <si>
    <t>23781A3222</t>
  </si>
  <si>
    <t>20781A3221</t>
  </si>
  <si>
    <t>22781A3216</t>
  </si>
  <si>
    <t>22781A3217</t>
  </si>
  <si>
    <t>21781A3222</t>
  </si>
  <si>
    <t>22781A3218</t>
  </si>
  <si>
    <t>21781A3223</t>
  </si>
  <si>
    <t>20781A3222</t>
  </si>
  <si>
    <t>20781A3223</t>
  </si>
  <si>
    <t>21781A3224</t>
  </si>
  <si>
    <t>22781A3219</t>
  </si>
  <si>
    <t>21781A3225</t>
  </si>
  <si>
    <t>23781A3223</t>
  </si>
  <si>
    <t>21781A3226</t>
  </si>
  <si>
    <t>20781A3224</t>
  </si>
  <si>
    <t>22781A3220</t>
  </si>
  <si>
    <t>23781A3224</t>
  </si>
  <si>
    <t>20781A3225</t>
  </si>
  <si>
    <t>20781A3226</t>
  </si>
  <si>
    <t>23781A3225</t>
  </si>
  <si>
    <t>23781A3226</t>
  </si>
  <si>
    <t>23781A3227</t>
  </si>
  <si>
    <t>22781A3221</t>
  </si>
  <si>
    <t>22781A3222</t>
  </si>
  <si>
    <t>22781A3223</t>
  </si>
  <si>
    <t>21781A3227</t>
  </si>
  <si>
    <t>20781A3227</t>
  </si>
  <si>
    <t>Keerthi</t>
  </si>
  <si>
    <t>22781A3224</t>
  </si>
  <si>
    <t>22781A3225</t>
  </si>
  <si>
    <t>22781A3226</t>
  </si>
  <si>
    <t>20781A3228</t>
  </si>
  <si>
    <t>21781A3228</t>
  </si>
  <si>
    <t>20781A3229</t>
  </si>
  <si>
    <t>20781A3230</t>
  </si>
  <si>
    <t>23781A3228</t>
  </si>
  <si>
    <t>22781A3227</t>
  </si>
  <si>
    <t>23781A3229</t>
  </si>
  <si>
    <t>22781A3228</t>
  </si>
  <si>
    <t>20781A3231</t>
  </si>
  <si>
    <t>22781A3229</t>
  </si>
  <si>
    <t>23781A3230</t>
  </si>
  <si>
    <t>Naveen</t>
  </si>
  <si>
    <t>22781A3230</t>
  </si>
  <si>
    <t>23781A3231</t>
  </si>
  <si>
    <t>21781A3229</t>
  </si>
  <si>
    <t>23781A3232</t>
  </si>
  <si>
    <t>22781A3231</t>
  </si>
  <si>
    <t>20781A3232</t>
  </si>
  <si>
    <t>23781A3233</t>
  </si>
  <si>
    <t>21781A3230</t>
  </si>
  <si>
    <t>21781A3231</t>
  </si>
  <si>
    <t>20781A3233</t>
  </si>
  <si>
    <t>22781A3232</t>
  </si>
  <si>
    <t>23781A3234</t>
  </si>
  <si>
    <t>20781A3234</t>
  </si>
  <si>
    <t>22781A3233</t>
  </si>
  <si>
    <t>21781A3232</t>
  </si>
  <si>
    <t>23781A3235</t>
  </si>
  <si>
    <t>23781A3236</t>
  </si>
  <si>
    <t>22781A3234</t>
  </si>
  <si>
    <t>23781A3237</t>
  </si>
  <si>
    <t>21781A3233</t>
  </si>
  <si>
    <t>20781A3235</t>
  </si>
  <si>
    <t>23781A3238</t>
  </si>
  <si>
    <t>20781A3236</t>
  </si>
  <si>
    <t>22781A3235</t>
  </si>
  <si>
    <t>20781A3237</t>
  </si>
  <si>
    <t>20781A3238</t>
  </si>
  <si>
    <t>23781A3239</t>
  </si>
  <si>
    <t>20781A3239</t>
  </si>
  <si>
    <t>20781A3240</t>
  </si>
  <si>
    <t>21781A3234</t>
  </si>
  <si>
    <t>21781A3235</t>
  </si>
  <si>
    <t>21781A3236</t>
  </si>
  <si>
    <t>22781A3236</t>
  </si>
  <si>
    <t>20781A3241</t>
  </si>
  <si>
    <t>21781A3237</t>
  </si>
  <si>
    <t>21781A3238</t>
  </si>
  <si>
    <t>20781A3242</t>
  </si>
  <si>
    <t>21781A3239</t>
  </si>
  <si>
    <t>22781A3237</t>
  </si>
  <si>
    <t>22781A3238</t>
  </si>
  <si>
    <t>21781A3240</t>
  </si>
  <si>
    <t>22781A3239</t>
  </si>
  <si>
    <t>20781A3243</t>
  </si>
  <si>
    <t>20781A3244</t>
  </si>
  <si>
    <t>20781A3245</t>
  </si>
  <si>
    <t>20781A3246</t>
  </si>
  <si>
    <t>20781A3247</t>
  </si>
  <si>
    <t>20781A3248</t>
  </si>
  <si>
    <t>23781A3240</t>
  </si>
  <si>
    <t>20781A3249</t>
  </si>
  <si>
    <t>20781A3250</t>
  </si>
  <si>
    <t>23781A3241</t>
  </si>
  <si>
    <t>21781A3241</t>
  </si>
  <si>
    <t>23781A3242</t>
  </si>
  <si>
    <t>22781A3240</t>
  </si>
  <si>
    <t>21781A3242</t>
  </si>
  <si>
    <t>20781A3251</t>
  </si>
  <si>
    <t>20781A3252</t>
  </si>
  <si>
    <t>21781A3243</t>
  </si>
  <si>
    <t>21781A3244</t>
  </si>
  <si>
    <t>21781A3245</t>
  </si>
  <si>
    <t>21781A3246</t>
  </si>
  <si>
    <t>22781A3241</t>
  </si>
  <si>
    <t>21781A3247</t>
  </si>
  <si>
    <t>20781A3253</t>
  </si>
  <si>
    <t>20781A3254</t>
  </si>
  <si>
    <t>23781A3243</t>
  </si>
  <si>
    <t>23781A3244</t>
  </si>
  <si>
    <t>21781A3248</t>
  </si>
  <si>
    <t>20781A3255</t>
  </si>
  <si>
    <t>20781A3256</t>
  </si>
  <si>
    <t>20781A3257</t>
  </si>
  <si>
    <t>21781A3249</t>
  </si>
  <si>
    <t>21781A3250</t>
  </si>
  <si>
    <t>21781A3251</t>
  </si>
  <si>
    <t>23781A3245</t>
  </si>
  <si>
    <t>20781A3258</t>
  </si>
  <si>
    <t>20781A3259</t>
  </si>
  <si>
    <t>21781A3252</t>
  </si>
  <si>
    <t>20781A3260</t>
  </si>
  <si>
    <t>22781A3242</t>
  </si>
  <si>
    <t>21781A3253</t>
  </si>
  <si>
    <t>20781A3261</t>
  </si>
  <si>
    <t>23781A3246</t>
  </si>
  <si>
    <t>23781A3247</t>
  </si>
  <si>
    <t>21781A3254</t>
  </si>
  <si>
    <t>20781A3262</t>
  </si>
  <si>
    <t>23781A3248</t>
  </si>
  <si>
    <t>23781A3249</t>
  </si>
  <si>
    <t>20781A3263</t>
  </si>
  <si>
    <t>22781A3243</t>
  </si>
  <si>
    <t>22781A3244</t>
  </si>
  <si>
    <t>21781A3255</t>
  </si>
  <si>
    <t>22781A3245</t>
  </si>
  <si>
    <t>21781A3256</t>
  </si>
  <si>
    <t>22781A3246</t>
  </si>
  <si>
    <t>23781A3250</t>
  </si>
  <si>
    <t>20781A3264</t>
  </si>
  <si>
    <t>21781A3257</t>
  </si>
  <si>
    <t>21781A3258</t>
  </si>
  <si>
    <t>20781A3265</t>
  </si>
  <si>
    <t>22781A3247</t>
  </si>
  <si>
    <t>21781A3259</t>
  </si>
  <si>
    <t>22781A3248</t>
  </si>
  <si>
    <t>20781A3266</t>
  </si>
  <si>
    <t>20781A3267</t>
  </si>
  <si>
    <t>20781A3268</t>
  </si>
  <si>
    <t>23781A3251</t>
  </si>
  <si>
    <t>20781A3269</t>
  </si>
  <si>
    <t>21781A3260</t>
  </si>
  <si>
    <t>23781A3252</t>
  </si>
  <si>
    <t>22781A3249</t>
  </si>
  <si>
    <t>20781A3270</t>
  </si>
  <si>
    <t>21781A3261</t>
  </si>
  <si>
    <t>20781A3271</t>
  </si>
  <si>
    <t>21781A3262</t>
  </si>
  <si>
    <t>23781A3253</t>
  </si>
  <si>
    <t>21781A3263</t>
  </si>
  <si>
    <t>23781A3254</t>
  </si>
  <si>
    <t>21781A3264</t>
  </si>
  <si>
    <t>22781A3250</t>
  </si>
  <si>
    <t>22781A3251</t>
  </si>
  <si>
    <t>21781A3265</t>
  </si>
  <si>
    <t>23781A3255</t>
  </si>
  <si>
    <t>20781A3272</t>
  </si>
  <si>
    <t>21781A3266</t>
  </si>
  <si>
    <t>23781A3256</t>
  </si>
  <si>
    <t>21781A3267</t>
  </si>
  <si>
    <t>22781A3252</t>
  </si>
  <si>
    <t>20781A3273</t>
  </si>
  <si>
    <t>22781A3253</t>
  </si>
  <si>
    <t>23781A3257</t>
  </si>
  <si>
    <t>22781A3254</t>
  </si>
  <si>
    <t>22781A3255</t>
  </si>
  <si>
    <t>23781A3258</t>
  </si>
  <si>
    <t>21781A3268</t>
  </si>
  <si>
    <t>20781A3274</t>
  </si>
  <si>
    <t>20781A3275</t>
  </si>
  <si>
    <t>23781A3259</t>
  </si>
  <si>
    <t>22781A3256</t>
  </si>
  <si>
    <t>23781A3260</t>
  </si>
  <si>
    <t>22781A3257</t>
  </si>
  <si>
    <t>21781A3269</t>
  </si>
  <si>
    <t>23781A3261</t>
  </si>
  <si>
    <t>20781A3276</t>
  </si>
  <si>
    <t>23781A3262</t>
  </si>
  <si>
    <t>22781A3258</t>
  </si>
  <si>
    <t>20781A3277</t>
  </si>
  <si>
    <t>23781A3263</t>
  </si>
  <si>
    <t>21781A3270</t>
  </si>
  <si>
    <t>21781A3271</t>
  </si>
  <si>
    <t>20781A3278</t>
  </si>
  <si>
    <t>22781A3259</t>
  </si>
  <si>
    <t>21781A3272</t>
  </si>
  <si>
    <t>21781A3273</t>
  </si>
  <si>
    <t>23781A3264</t>
  </si>
  <si>
    <t>20781A3279</t>
  </si>
  <si>
    <t>22781A3260</t>
  </si>
  <si>
    <t>21781A3274</t>
  </si>
  <si>
    <t>22781A3261</t>
  </si>
  <si>
    <t>22781A3262</t>
  </si>
  <si>
    <t>20781A3280</t>
  </si>
  <si>
    <t>20781A3281</t>
  </si>
  <si>
    <t>23781A3265</t>
  </si>
  <si>
    <t>21781A3275</t>
  </si>
  <si>
    <t>22781A3263</t>
  </si>
  <si>
    <t>23781A3266</t>
  </si>
  <si>
    <t>21781A3276</t>
  </si>
  <si>
    <t>23781A3267</t>
  </si>
  <si>
    <t>23781A3268</t>
  </si>
  <si>
    <t>20781A3282</t>
  </si>
  <si>
    <t>23781A3269</t>
  </si>
  <si>
    <t>20781A3283</t>
  </si>
  <si>
    <t>20781A3284</t>
  </si>
  <si>
    <t>20781A3285</t>
  </si>
  <si>
    <t>20781A3286</t>
  </si>
  <si>
    <t>23781A3270</t>
  </si>
  <si>
    <t>22781A3264</t>
  </si>
  <si>
    <t>23781A3271</t>
  </si>
  <si>
    <t>23781A3272</t>
  </si>
  <si>
    <t>23781A3273</t>
  </si>
  <si>
    <t>23781A3274</t>
  </si>
  <si>
    <t>22781A3265</t>
  </si>
  <si>
    <t>23781A3275</t>
  </si>
  <si>
    <t>21781A3277</t>
  </si>
  <si>
    <t>23781A3276</t>
  </si>
  <si>
    <t>20781A3287</t>
  </si>
  <si>
    <t>20781A3288</t>
  </si>
  <si>
    <t>22781A3266</t>
  </si>
  <si>
    <t>21781A3278</t>
  </si>
  <si>
    <t>23781A3277</t>
  </si>
  <si>
    <t>21781A3279</t>
  </si>
  <si>
    <t>22781A3267</t>
  </si>
  <si>
    <t>23781A3278</t>
  </si>
  <si>
    <t>21781A3280</t>
  </si>
  <si>
    <t>20781A3289</t>
  </si>
  <si>
    <t>23781A3279</t>
  </si>
  <si>
    <t>22781A3268</t>
  </si>
  <si>
    <t>22781A3269</t>
  </si>
  <si>
    <t>20781A3290</t>
  </si>
  <si>
    <t>23781A3280</t>
  </si>
  <si>
    <t>23781A3281</t>
  </si>
  <si>
    <t>22781A3270</t>
  </si>
  <si>
    <t>22781A3271</t>
  </si>
  <si>
    <t>22781A3272</t>
  </si>
  <si>
    <t>20781A3291</t>
  </si>
  <si>
    <t>22781A3273</t>
  </si>
  <si>
    <t>22781A3274</t>
  </si>
  <si>
    <t>22781A3275</t>
  </si>
  <si>
    <t>20781A3292</t>
  </si>
  <si>
    <t>22781A3276</t>
  </si>
  <si>
    <t>21781A3281</t>
  </si>
  <si>
    <t>22781A3277</t>
  </si>
  <si>
    <t>23781A3282</t>
  </si>
  <si>
    <t>22781A3278</t>
  </si>
  <si>
    <t>22781A3279</t>
  </si>
  <si>
    <t>22781A3280</t>
  </si>
  <si>
    <t>20781A3293</t>
  </si>
  <si>
    <t>21781A3282</t>
  </si>
  <si>
    <t>21781A3283</t>
  </si>
  <si>
    <t>23781A3283</t>
  </si>
  <si>
    <t>20781A3294</t>
  </si>
  <si>
    <t>23781A3284</t>
  </si>
  <si>
    <t>20781A3295</t>
  </si>
  <si>
    <t>21781A3284</t>
  </si>
  <si>
    <t>23781A3285</t>
  </si>
  <si>
    <t>23781A3286</t>
  </si>
  <si>
    <t>20781A3296</t>
  </si>
  <si>
    <t>20781A3297</t>
  </si>
  <si>
    <t>22781A3281</t>
  </si>
  <si>
    <t>22781A3282</t>
  </si>
  <si>
    <t>22781A3283</t>
  </si>
  <si>
    <t>21781A3285</t>
  </si>
  <si>
    <t>22781A3284</t>
  </si>
  <si>
    <t>20781A3298</t>
  </si>
  <si>
    <t>20781A3299</t>
  </si>
  <si>
    <t>20781A3300</t>
  </si>
  <si>
    <t>22781A3285</t>
  </si>
  <si>
    <t>21781A3286</t>
  </si>
  <si>
    <t>22781A3286</t>
  </si>
  <si>
    <t>23781A3287</t>
  </si>
  <si>
    <t>21781A3287</t>
  </si>
  <si>
    <t>22781A3287</t>
  </si>
  <si>
    <t>21781A3288</t>
  </si>
  <si>
    <t>20781A3301</t>
  </si>
  <si>
    <t>22781A3288</t>
  </si>
  <si>
    <t>20781A3302</t>
  </si>
  <si>
    <t>21781A3289</t>
  </si>
  <si>
    <t>22781A3289</t>
  </si>
  <si>
    <t>23781A3288</t>
  </si>
  <si>
    <t>21781A3290</t>
  </si>
  <si>
    <t>21781A3291</t>
  </si>
  <si>
    <t>22781A3290</t>
  </si>
  <si>
    <t>21781A3292</t>
  </si>
  <si>
    <t>23781A3289</t>
  </si>
  <si>
    <t>21781A3293</t>
  </si>
  <si>
    <t>23781A3290</t>
  </si>
  <si>
    <t>22781A3291</t>
  </si>
  <si>
    <t>20781A3303</t>
  </si>
  <si>
    <t>23781A3291</t>
  </si>
  <si>
    <t>23781A3292</t>
  </si>
  <si>
    <t>20781A3304</t>
  </si>
  <si>
    <t>23781A3293</t>
  </si>
  <si>
    <t>22781A3292</t>
  </si>
  <si>
    <t>20781A3305</t>
  </si>
  <si>
    <t>20781A3306</t>
  </si>
  <si>
    <t>21781A3294</t>
  </si>
  <si>
    <t>23781A3294</t>
  </si>
  <si>
    <t>22781A3293</t>
  </si>
  <si>
    <t>20781A3307</t>
  </si>
  <si>
    <t>22781A3294</t>
  </si>
  <si>
    <t>22781A3295</t>
  </si>
  <si>
    <t>23781A3295</t>
  </si>
  <si>
    <t>23781A3296</t>
  </si>
  <si>
    <t>21781A3295</t>
  </si>
  <si>
    <t>20781A3308</t>
  </si>
  <si>
    <t>20781A3309</t>
  </si>
  <si>
    <t>21781A3296</t>
  </si>
  <si>
    <t>22781A3296</t>
  </si>
  <si>
    <t>23781A3297</t>
  </si>
  <si>
    <t>22781A3297</t>
  </si>
  <si>
    <t>22781A3298</t>
  </si>
  <si>
    <t>21781A3297</t>
  </si>
  <si>
    <t>23781A3298</t>
  </si>
  <si>
    <t>21781A3298</t>
  </si>
  <si>
    <t>20781A3310</t>
  </si>
  <si>
    <t>22781A3299</t>
  </si>
  <si>
    <t>21781A3299</t>
  </si>
  <si>
    <t>20781A3311</t>
  </si>
  <si>
    <t>21781A3300</t>
  </si>
  <si>
    <t>20781A3312</t>
  </si>
  <si>
    <t>20781A3313</t>
  </si>
  <si>
    <t>20781A3314</t>
  </si>
  <si>
    <t>20781A3315</t>
  </si>
  <si>
    <t>22781A3300</t>
  </si>
  <si>
    <t>21781A3301</t>
  </si>
  <si>
    <t>20781A3316</t>
  </si>
  <si>
    <t>21781A3302</t>
  </si>
  <si>
    <t>21781A3303</t>
  </si>
  <si>
    <t>20781A3317</t>
  </si>
  <si>
    <t>23781A3299</t>
  </si>
  <si>
    <t>22781A3301</t>
  </si>
  <si>
    <t>21781A3304</t>
  </si>
  <si>
    <t>22781A3302</t>
  </si>
  <si>
    <t>22781A3303</t>
  </si>
  <si>
    <t>22781A3304</t>
  </si>
  <si>
    <t>21781A3305</t>
  </si>
  <si>
    <t>20781A3318</t>
  </si>
  <si>
    <t>21781A3306</t>
  </si>
  <si>
    <t>21781A3307</t>
  </si>
  <si>
    <t>22781A3305</t>
  </si>
  <si>
    <t>21781A3308</t>
  </si>
  <si>
    <t>22781A3306</t>
  </si>
  <si>
    <t>20781A3319</t>
  </si>
  <si>
    <t>22781A3307</t>
  </si>
  <si>
    <t>21781A3309</t>
  </si>
  <si>
    <t>22781A3308</t>
  </si>
  <si>
    <t>20781A3320</t>
  </si>
  <si>
    <t>22781A3309</t>
  </si>
  <si>
    <t>20781A3321</t>
  </si>
  <si>
    <t>20781A3322</t>
  </si>
  <si>
    <t>21781A3310</t>
  </si>
  <si>
    <t>20781A3323</t>
  </si>
  <si>
    <t>20781A3324</t>
  </si>
  <si>
    <t>20781A3325</t>
  </si>
  <si>
    <t>23781A3300</t>
  </si>
  <si>
    <t>22781A3310</t>
  </si>
  <si>
    <t>21781A3311</t>
  </si>
  <si>
    <t>20781A3326</t>
  </si>
  <si>
    <t>23781A3301</t>
  </si>
  <si>
    <t>21781A3312</t>
  </si>
  <si>
    <t>20781A3327</t>
  </si>
  <si>
    <t>23781A3302</t>
  </si>
  <si>
    <t>21781A3313</t>
  </si>
  <si>
    <t>23781A3303</t>
  </si>
  <si>
    <t>20781A3328</t>
  </si>
  <si>
    <t>23781A3304</t>
  </si>
  <si>
    <t>21781A3314</t>
  </si>
  <si>
    <t>21781A3315</t>
  </si>
  <si>
    <t>20781A3329</t>
  </si>
  <si>
    <t>23781A3305</t>
  </si>
  <si>
    <t>22781A3311</t>
  </si>
  <si>
    <t>20781A3330</t>
  </si>
  <si>
    <t>21781A3316</t>
  </si>
  <si>
    <t>22781A3312</t>
  </si>
  <si>
    <t>20781A3331</t>
  </si>
  <si>
    <t>21781A3317</t>
  </si>
  <si>
    <t>20781A3332</t>
  </si>
  <si>
    <t>22781A3313</t>
  </si>
  <si>
    <t>20781A3333</t>
  </si>
  <si>
    <t>22781A3314</t>
  </si>
  <si>
    <t>21781A3318</t>
  </si>
  <si>
    <t>20781A3334</t>
  </si>
  <si>
    <t>20781A3335</t>
  </si>
  <si>
    <t>23781A3306</t>
  </si>
  <si>
    <t>22781A3315</t>
  </si>
  <si>
    <t>23781A3307</t>
  </si>
  <si>
    <t>20781A3336</t>
  </si>
  <si>
    <t>21781A3319</t>
  </si>
  <si>
    <t>23781A3308</t>
  </si>
  <si>
    <t>22781A3316</t>
  </si>
  <si>
    <t>22781A3317</t>
  </si>
  <si>
    <t>20781A3337</t>
  </si>
  <si>
    <t>21781A3320</t>
  </si>
  <si>
    <t>21781A3321</t>
  </si>
  <si>
    <t>21781A3322</t>
  </si>
  <si>
    <t>22781A3318</t>
  </si>
  <si>
    <t>21781A3323</t>
  </si>
  <si>
    <t>22781A3319</t>
  </si>
  <si>
    <t>22781A3320</t>
  </si>
  <si>
    <t>21781A3324</t>
  </si>
  <si>
    <t>20781A3338</t>
  </si>
  <si>
    <t>22781A3321</t>
  </si>
  <si>
    <t>20781A3339</t>
  </si>
  <si>
    <t>20781A3340</t>
  </si>
  <si>
    <t>21781A3325</t>
  </si>
  <si>
    <t>23781A3309</t>
  </si>
  <si>
    <t>21781A3326</t>
  </si>
  <si>
    <t>20781A3341</t>
  </si>
  <si>
    <t>22781A3322</t>
  </si>
  <si>
    <t>23781A3310</t>
  </si>
  <si>
    <t>22781A3323</t>
  </si>
  <si>
    <t>20781A3342</t>
  </si>
  <si>
    <t>21781A3327</t>
  </si>
  <si>
    <t>22781A3324</t>
  </si>
  <si>
    <t>22781A3325</t>
  </si>
  <si>
    <t>20781A3343</t>
  </si>
  <si>
    <t>21781A3328</t>
  </si>
  <si>
    <t>21781A3329</t>
  </si>
  <si>
    <t>20781A3344</t>
  </si>
  <si>
    <t>21781A3330</t>
  </si>
  <si>
    <t>22781A3326</t>
  </si>
  <si>
    <t>20781A3345</t>
  </si>
  <si>
    <t>23781A3311</t>
  </si>
  <si>
    <t>23781A3312</t>
  </si>
  <si>
    <t>22781A3327</t>
  </si>
  <si>
    <t>20781A3346</t>
  </si>
  <si>
    <t>21781A3331</t>
  </si>
  <si>
    <t>20781A3347</t>
  </si>
  <si>
    <t>20781A3348</t>
  </si>
  <si>
    <t>20781A3349</t>
  </si>
  <si>
    <t>21781A3332</t>
  </si>
  <si>
    <t>20781A3350</t>
  </si>
  <si>
    <t>21781A3333</t>
  </si>
  <si>
    <t>21781A3334</t>
  </si>
  <si>
    <t>21781A3335</t>
  </si>
  <si>
    <t>20781A3351</t>
  </si>
  <si>
    <t>22781A3328</t>
  </si>
  <si>
    <t>23781A3313</t>
  </si>
  <si>
    <t>20781A3352</t>
  </si>
  <si>
    <t>20781A3353</t>
  </si>
  <si>
    <t>22781A3329</t>
  </si>
  <si>
    <t>22781A3330</t>
  </si>
  <si>
    <t>21781A3336</t>
  </si>
  <si>
    <t>23781A3314</t>
  </si>
  <si>
    <t>20781A3354</t>
  </si>
  <si>
    <t>21781A3337</t>
  </si>
  <si>
    <t>20781A3355</t>
  </si>
  <si>
    <t>20781A3356</t>
  </si>
  <si>
    <t>21781A3338</t>
  </si>
  <si>
    <t>23781A3315</t>
  </si>
  <si>
    <t>23781A3316</t>
  </si>
  <si>
    <t>22781A3331</t>
  </si>
  <si>
    <t>20781A3357</t>
  </si>
  <si>
    <t>22781A3332</t>
  </si>
  <si>
    <t>20781A3358</t>
  </si>
  <si>
    <t>21781A3339</t>
  </si>
  <si>
    <t>21781A3340</t>
  </si>
  <si>
    <t>23781A3317</t>
  </si>
  <si>
    <t>23781A3318</t>
  </si>
  <si>
    <t>22781A3333</t>
  </si>
  <si>
    <t>21781A3341</t>
  </si>
  <si>
    <t>23781A3319</t>
  </si>
  <si>
    <t>22781A3334</t>
  </si>
  <si>
    <t>22781A3335</t>
  </si>
  <si>
    <t>21781A3342</t>
  </si>
  <si>
    <t>21781A3343</t>
  </si>
  <si>
    <t>21781A3344</t>
  </si>
  <si>
    <t>21781A3345</t>
  </si>
  <si>
    <t>23781A3320</t>
  </si>
  <si>
    <t>20781A3359</t>
  </si>
  <si>
    <t>22781A3336</t>
  </si>
  <si>
    <t>22781A3337</t>
  </si>
  <si>
    <t>20781A3360</t>
  </si>
  <si>
    <t>21781A3346</t>
  </si>
  <si>
    <t>23781A3321</t>
  </si>
  <si>
    <t>20781A3361</t>
  </si>
  <si>
    <t>22781A3338</t>
  </si>
  <si>
    <t>20781A3362</t>
  </si>
  <si>
    <t>23781A3322</t>
  </si>
  <si>
    <t>21781A3347</t>
  </si>
  <si>
    <t>20781A3363</t>
  </si>
  <si>
    <t>23781A3323</t>
  </si>
  <si>
    <t>21781A3348</t>
  </si>
  <si>
    <t>21781A3349</t>
  </si>
  <si>
    <t>22781A3339</t>
  </si>
  <si>
    <t>20781A3364</t>
  </si>
  <si>
    <t>23781A3324</t>
  </si>
  <si>
    <t>23781A3325</t>
  </si>
  <si>
    <t>20781A3365</t>
  </si>
  <si>
    <t>21781A3350</t>
  </si>
  <si>
    <t>21781A3351</t>
  </si>
  <si>
    <t>22781A3340</t>
  </si>
  <si>
    <t>20781A3366</t>
  </si>
  <si>
    <t>20781A3367</t>
  </si>
  <si>
    <t>21781A3352</t>
  </si>
  <si>
    <t>22781A3341</t>
  </si>
  <si>
    <t>20781A3368</t>
  </si>
  <si>
    <t>20781A3369</t>
  </si>
  <si>
    <t>22781A3342</t>
  </si>
  <si>
    <t>21781A3353</t>
  </si>
  <si>
    <t>22781A3343</t>
  </si>
  <si>
    <t>22781A3344</t>
  </si>
  <si>
    <t>22781A3345</t>
  </si>
  <si>
    <t>23781A3326</t>
  </si>
  <si>
    <t>23781A3327</t>
  </si>
  <si>
    <t>20781A3370</t>
  </si>
  <si>
    <t>23781A3328</t>
  </si>
  <si>
    <t>21781A3354</t>
  </si>
  <si>
    <t>22781A3346</t>
  </si>
  <si>
    <t>21781A3355</t>
  </si>
  <si>
    <t>23781A3329</t>
  </si>
  <si>
    <t>20781A3371</t>
  </si>
  <si>
    <t>21781A3356</t>
  </si>
  <si>
    <t>20781A3372</t>
  </si>
  <si>
    <t>22781A3347</t>
  </si>
  <si>
    <t>23781A3330</t>
  </si>
  <si>
    <t>23781A3331</t>
  </si>
  <si>
    <t>23781A3332</t>
  </si>
  <si>
    <t>22781A3348</t>
  </si>
  <si>
    <t>22781A3349</t>
  </si>
  <si>
    <t>22781A3350</t>
  </si>
  <si>
    <t>20781A3373</t>
  </si>
  <si>
    <t>21781A3357</t>
  </si>
  <si>
    <t>22781A3351</t>
  </si>
  <si>
    <t>21781A3358</t>
  </si>
  <si>
    <t>21781A3359</t>
  </si>
  <si>
    <t>21781A3360</t>
  </si>
  <si>
    <t>23781A3333</t>
  </si>
  <si>
    <t>21781A3361</t>
  </si>
  <si>
    <t>21781A3362</t>
  </si>
  <si>
    <t>23781A3334</t>
  </si>
  <si>
    <t>21781A3363</t>
  </si>
  <si>
    <t>21781A3364</t>
  </si>
  <si>
    <t>22781A3352</t>
  </si>
  <si>
    <t>20781A3374</t>
  </si>
  <si>
    <t>22781A3353</t>
  </si>
  <si>
    <t>20781A3375</t>
  </si>
  <si>
    <t>20781A3376</t>
  </si>
  <si>
    <t>20781A3377</t>
  </si>
  <si>
    <t>21781A3365</t>
  </si>
  <si>
    <t>23781A3335</t>
  </si>
  <si>
    <t>21781A3366</t>
  </si>
  <si>
    <t>22781A3354</t>
  </si>
  <si>
    <t>21781A3367</t>
  </si>
  <si>
    <t>20781A3378</t>
  </si>
  <si>
    <t>21781A3368</t>
  </si>
  <si>
    <t>20781A3379</t>
  </si>
  <si>
    <t>23781A3336</t>
  </si>
  <si>
    <t>22781A3355</t>
  </si>
  <si>
    <t>20781A3380</t>
  </si>
  <si>
    <t>23781A3337</t>
  </si>
  <si>
    <t>22781A3356</t>
  </si>
  <si>
    <t>20781A3381</t>
  </si>
  <si>
    <t>20781A3382</t>
  </si>
  <si>
    <t>20781A3383</t>
  </si>
  <si>
    <t>22781A3357</t>
  </si>
  <si>
    <t>20781A3384</t>
  </si>
  <si>
    <t>20781A3385</t>
  </si>
  <si>
    <t>20781A3386</t>
  </si>
  <si>
    <t>21781A3369</t>
  </si>
  <si>
    <t>23781A3338</t>
  </si>
  <si>
    <t>23781A3339</t>
  </si>
  <si>
    <t>22781A3358</t>
  </si>
  <si>
    <t>20781A3387</t>
  </si>
  <si>
    <t>21781A3370</t>
  </si>
  <si>
    <t>23781A3340</t>
  </si>
  <si>
    <t>21781A3371</t>
  </si>
  <si>
    <t>20781A3388</t>
  </si>
  <si>
    <t>21781A3372</t>
  </si>
  <si>
    <t>23781A3341</t>
  </si>
  <si>
    <t>20781A3389</t>
  </si>
  <si>
    <t>20781A3390</t>
  </si>
  <si>
    <t>20781A3391</t>
  </si>
  <si>
    <t>21781A3373</t>
  </si>
  <si>
    <t>22781A3359</t>
  </si>
  <si>
    <t>21781A3374</t>
  </si>
  <si>
    <t>22781A3360</t>
  </si>
  <si>
    <t>21781A3375</t>
  </si>
  <si>
    <t>23781A3342</t>
  </si>
  <si>
    <t>23781A3343</t>
  </si>
  <si>
    <t>20781A3392</t>
  </si>
  <si>
    <t>21781A3376</t>
  </si>
  <si>
    <t>23781A3344</t>
  </si>
  <si>
    <t>21781A3377</t>
  </si>
  <si>
    <t>20781A3393</t>
  </si>
  <si>
    <t>20781A3394</t>
  </si>
  <si>
    <t>23781A3345</t>
  </si>
  <si>
    <t>23781A3346</t>
  </si>
  <si>
    <t>22781A3361</t>
  </si>
  <si>
    <t>20781A3395</t>
  </si>
  <si>
    <t>22781A3362</t>
  </si>
  <si>
    <t>22781A3363</t>
  </si>
  <si>
    <t>21781A3378</t>
  </si>
  <si>
    <t>22781A3364</t>
  </si>
  <si>
    <t>23781A3347</t>
  </si>
  <si>
    <t>22781A3365</t>
  </si>
  <si>
    <t>20781A3396</t>
  </si>
  <si>
    <t>22781A3366</t>
  </si>
  <si>
    <t>23781A3348</t>
  </si>
  <si>
    <t>21781A3379</t>
  </si>
  <si>
    <t>23781A3349</t>
  </si>
  <si>
    <t>23781A3350</t>
  </si>
  <si>
    <t>22781A3367</t>
  </si>
  <si>
    <t>21781A3380</t>
  </si>
  <si>
    <t>23781A3351</t>
  </si>
  <si>
    <t>21781A3381</t>
  </si>
  <si>
    <t>22781A3368</t>
  </si>
  <si>
    <t>23781A3352</t>
  </si>
  <si>
    <t>23781A3353</t>
  </si>
  <si>
    <t>22781A3369</t>
  </si>
  <si>
    <t>20781A3397</t>
  </si>
  <si>
    <t>21781A3382</t>
  </si>
  <si>
    <t>23781A3354</t>
  </si>
  <si>
    <t>23781A3355</t>
  </si>
  <si>
    <t>22781A3370</t>
  </si>
  <si>
    <t>20781A3398</t>
  </si>
  <si>
    <t>21781A3383</t>
  </si>
  <si>
    <t>21781A3384</t>
  </si>
  <si>
    <t>21781A3385</t>
  </si>
  <si>
    <t>20781A3399</t>
  </si>
  <si>
    <t>23781A3356</t>
  </si>
  <si>
    <t>20781A3400</t>
  </si>
  <si>
    <t>21781A3386</t>
  </si>
  <si>
    <t>20781A3401</t>
  </si>
  <si>
    <t>21781A3387</t>
  </si>
  <si>
    <t>21781A3388</t>
  </si>
  <si>
    <t>21781A3389</t>
  </si>
  <si>
    <t>22781A3371</t>
  </si>
  <si>
    <t>23781A3357</t>
  </si>
  <si>
    <t>23781A3358</t>
  </si>
  <si>
    <t>22781A3372</t>
  </si>
  <si>
    <t>22781A3373</t>
  </si>
  <si>
    <t>23781A3359</t>
  </si>
  <si>
    <t>22781A3374</t>
  </si>
  <si>
    <t>21781A3390</t>
  </si>
  <si>
    <t>22781A3375</t>
  </si>
  <si>
    <t>21781A3391</t>
  </si>
  <si>
    <t>23781A3360</t>
  </si>
  <si>
    <t>21781A3392</t>
  </si>
  <si>
    <t>22781A3376</t>
  </si>
  <si>
    <t>20781A3402</t>
  </si>
  <si>
    <t>22781A3377</t>
  </si>
  <si>
    <t>20781A3403</t>
  </si>
  <si>
    <t>23781A3361</t>
  </si>
  <si>
    <t>22781A3378</t>
  </si>
  <si>
    <t>23781A3362</t>
  </si>
  <si>
    <t>23781A3363</t>
  </si>
  <si>
    <t>20781A3404</t>
  </si>
  <si>
    <t>20781A3405</t>
  </si>
  <si>
    <t>21781A3393</t>
  </si>
  <si>
    <t>23781A3364</t>
  </si>
  <si>
    <t>20781A3406</t>
  </si>
  <si>
    <t>23781A3365</t>
  </si>
  <si>
    <t>20781A3407</t>
  </si>
  <si>
    <t>21781A3394</t>
  </si>
  <si>
    <t>21781A3395</t>
  </si>
  <si>
    <t>22781A3379</t>
  </si>
  <si>
    <t>21781A3396</t>
  </si>
  <si>
    <t>21781A3397</t>
  </si>
  <si>
    <t>23781A3366</t>
  </si>
  <si>
    <t>20781A3408</t>
  </si>
  <si>
    <t>20781A3409</t>
  </si>
  <si>
    <t>22781A3380</t>
  </si>
  <si>
    <t>20781A3410</t>
  </si>
  <si>
    <t>22781A3381</t>
  </si>
  <si>
    <t>23781A3367</t>
  </si>
  <si>
    <t>21781A3398</t>
  </si>
  <si>
    <t>23781A3368</t>
  </si>
  <si>
    <t>23781A3369</t>
  </si>
  <si>
    <t>20781A3411</t>
  </si>
  <si>
    <t>20781A3412</t>
  </si>
  <si>
    <t>22781A3382</t>
  </si>
  <si>
    <t>21781A3399</t>
  </si>
  <si>
    <t>20781A3413</t>
  </si>
  <si>
    <t>22781A3383</t>
  </si>
  <si>
    <t>21781A3400</t>
  </si>
  <si>
    <t>21781A3401</t>
  </si>
  <si>
    <t>23781A3370</t>
  </si>
  <si>
    <t>21781A3402</t>
  </si>
  <si>
    <t>22781A3384</t>
  </si>
  <si>
    <t>22781A3385</t>
  </si>
  <si>
    <t>20781A3414</t>
  </si>
  <si>
    <t>20781A3415</t>
  </si>
  <si>
    <t>22781A3386</t>
  </si>
  <si>
    <t>23781A3371</t>
  </si>
  <si>
    <t>23781A3372</t>
  </si>
  <si>
    <t>22781A3387</t>
  </si>
  <si>
    <t>21781A3403</t>
  </si>
  <si>
    <t>22781A3388</t>
  </si>
  <si>
    <t>22781A3389</t>
  </si>
  <si>
    <t>22781A3390</t>
  </si>
  <si>
    <t>22781A3391</t>
  </si>
  <si>
    <t>22781A3392</t>
  </si>
  <si>
    <t>23781A3373</t>
  </si>
  <si>
    <t>20781A3416</t>
  </si>
  <si>
    <t>20781A3417</t>
  </si>
  <si>
    <t>22781A3393</t>
  </si>
  <si>
    <t>22781A3394</t>
  </si>
  <si>
    <t>21781A3404</t>
  </si>
  <si>
    <t>20781A3418</t>
  </si>
  <si>
    <t>21781A3405</t>
  </si>
  <si>
    <t>22781A3395</t>
  </si>
  <si>
    <t>20781A3419</t>
  </si>
  <si>
    <t>21781A3406</t>
  </si>
  <si>
    <t>20781A3420</t>
  </si>
  <si>
    <t>23781A3374</t>
  </si>
  <si>
    <t>20781A3421</t>
  </si>
  <si>
    <t>22781A3396</t>
  </si>
  <si>
    <t>22781A3397</t>
  </si>
  <si>
    <t>21781A3407</t>
  </si>
  <si>
    <t>23781A3375</t>
  </si>
  <si>
    <t>22781A3398</t>
  </si>
  <si>
    <t>22781A3399</t>
  </si>
  <si>
    <t>22781A3400</t>
  </si>
  <si>
    <t>20781A3422</t>
  </si>
  <si>
    <t>21781A3408</t>
  </si>
  <si>
    <t>20781A3423</t>
  </si>
  <si>
    <t>21781A3409</t>
  </si>
  <si>
    <t>22781A3401</t>
  </si>
  <si>
    <t>21781A3410</t>
  </si>
  <si>
    <t>20781A3424</t>
  </si>
  <si>
    <t>23781A3376</t>
  </si>
  <si>
    <t>20781A3425</t>
  </si>
  <si>
    <t>22781A3402</t>
  </si>
  <si>
    <t>23781A3377</t>
  </si>
  <si>
    <t>21781A3411</t>
  </si>
  <si>
    <t>23781A3378</t>
  </si>
  <si>
    <t>23781A3379</t>
  </si>
  <si>
    <t>22781A3403</t>
  </si>
  <si>
    <t>23781A3380</t>
  </si>
  <si>
    <t>20781A3426</t>
  </si>
  <si>
    <t>21781A3412</t>
  </si>
  <si>
    <t>23781A3381</t>
  </si>
  <si>
    <t>21781A3413</t>
  </si>
  <si>
    <t>21781A3414</t>
  </si>
  <si>
    <t>22781A3404</t>
  </si>
  <si>
    <t>22781A3405</t>
  </si>
  <si>
    <t>20781A3427</t>
  </si>
  <si>
    <t>21781A3415</t>
  </si>
  <si>
    <t>22781A3406</t>
  </si>
  <si>
    <t>22781A3407</t>
  </si>
  <si>
    <t>21781A3416</t>
  </si>
  <si>
    <t>20781A3428</t>
  </si>
  <si>
    <t>20781A3429</t>
  </si>
  <si>
    <t>20781A3430</t>
  </si>
  <si>
    <t>22781A3408</t>
  </si>
  <si>
    <t>22781A3409</t>
  </si>
  <si>
    <t>21781A3417</t>
  </si>
  <si>
    <t>23781A3382</t>
  </si>
  <si>
    <t>21781A3418</t>
  </si>
  <si>
    <t>22781A3410</t>
  </si>
  <si>
    <t>20781A3431</t>
  </si>
  <si>
    <t>22781A3411</t>
  </si>
  <si>
    <t>23781A3383</t>
  </si>
  <si>
    <t>20781A3432</t>
  </si>
  <si>
    <t>20781A3433</t>
  </si>
  <si>
    <t>22781A3412</t>
  </si>
  <si>
    <t>22781A3413</t>
  </si>
  <si>
    <t>20781A3434</t>
  </si>
  <si>
    <t>22781A3414</t>
  </si>
  <si>
    <t>21781A3419</t>
  </si>
  <si>
    <t>20781A3435</t>
  </si>
  <si>
    <t>23781A3384</t>
  </si>
  <si>
    <t>22781A3415</t>
  </si>
  <si>
    <t>20781A3436</t>
  </si>
  <si>
    <t>23781A3385</t>
  </si>
  <si>
    <t>22781A3416</t>
  </si>
  <si>
    <t>20781A3437</t>
  </si>
  <si>
    <t>21781A3420</t>
  </si>
  <si>
    <t>21781A3421</t>
  </si>
  <si>
    <t>20781A3438</t>
  </si>
  <si>
    <t>23781A3386</t>
  </si>
  <si>
    <t>22781A3417</t>
  </si>
  <si>
    <t>20781A3439</t>
  </si>
  <si>
    <t>23781A3387</t>
  </si>
  <si>
    <t>23781A3388</t>
  </si>
  <si>
    <t>21781A3422</t>
  </si>
  <si>
    <t>23781A3389</t>
  </si>
  <si>
    <t>21781A3423</t>
  </si>
  <si>
    <t>20781A3440</t>
  </si>
  <si>
    <t>22781A3418</t>
  </si>
  <si>
    <t>23781A3390</t>
  </si>
  <si>
    <t>22781A3419</t>
  </si>
  <si>
    <t>20781A3441</t>
  </si>
  <si>
    <t>22781A3420</t>
  </si>
  <si>
    <t>21781A3424</t>
  </si>
  <si>
    <t>23781A3391</t>
  </si>
  <si>
    <t>20781A3442</t>
  </si>
  <si>
    <t>21781A3425</t>
  </si>
  <si>
    <t>22781A3421</t>
  </si>
  <si>
    <t>23781A3392</t>
  </si>
  <si>
    <t>21781A3426</t>
  </si>
  <si>
    <t>20781A3443</t>
  </si>
  <si>
    <t>20781A3444</t>
  </si>
  <si>
    <t>21781A3427</t>
  </si>
  <si>
    <t>21781A3428</t>
  </si>
  <si>
    <t>23781A3393</t>
  </si>
  <si>
    <t>21781A3429</t>
  </si>
  <si>
    <t>20781A3445</t>
  </si>
  <si>
    <t>22781A3422</t>
  </si>
  <si>
    <t>20781A3446</t>
  </si>
  <si>
    <t>23781A3394</t>
  </si>
  <si>
    <t>22781A3423</t>
  </si>
  <si>
    <t>21781A3430</t>
  </si>
  <si>
    <t>21781A3431</t>
  </si>
  <si>
    <t>23781A3395</t>
  </si>
  <si>
    <t>21781A3432</t>
  </si>
  <si>
    <t>22781A3424</t>
  </si>
  <si>
    <t>23781A3396</t>
  </si>
  <si>
    <t>23781A3397</t>
  </si>
  <si>
    <t>22781A3425</t>
  </si>
  <si>
    <t>23781A3398</t>
  </si>
  <si>
    <t>22781A3426</t>
  </si>
  <si>
    <t>20781A3447</t>
  </si>
  <si>
    <t>22781A3427</t>
  </si>
  <si>
    <t>20781A3448</t>
  </si>
  <si>
    <t>23781A3399</t>
  </si>
  <si>
    <t>23781A3400</t>
  </si>
  <si>
    <t>21781A3433</t>
  </si>
  <si>
    <t>21781A3434</t>
  </si>
  <si>
    <t>22781A3428</t>
  </si>
  <si>
    <t>22781A3429</t>
  </si>
  <si>
    <t>23781A3401</t>
  </si>
  <si>
    <t>23781A3402</t>
  </si>
  <si>
    <t>20781A3449</t>
  </si>
  <si>
    <t>23781A3403</t>
  </si>
  <si>
    <t>21781A3435</t>
  </si>
  <si>
    <t>22781A3430</t>
  </si>
  <si>
    <t>22781A3431</t>
  </si>
  <si>
    <t>21781A3436</t>
  </si>
  <si>
    <t>23781A3404</t>
  </si>
  <si>
    <t>23781A3405</t>
  </si>
  <si>
    <t>21781A3437</t>
  </si>
  <si>
    <t>20781A3450</t>
  </si>
  <si>
    <t>23781A3406</t>
  </si>
  <si>
    <t>22781A3432</t>
  </si>
  <si>
    <t>20781A3451</t>
  </si>
  <si>
    <t>21781A3438</t>
  </si>
  <si>
    <t>22781A3433</t>
  </si>
  <si>
    <t>20781A3452</t>
  </si>
  <si>
    <t>23781A3407</t>
  </si>
  <si>
    <t>21781A3439</t>
  </si>
  <si>
    <t>22781A3434</t>
  </si>
  <si>
    <t>20781A3453</t>
  </si>
  <si>
    <t>20781A3454</t>
  </si>
  <si>
    <t>23781A3408</t>
  </si>
  <si>
    <t>23781A3409</t>
  </si>
  <si>
    <t>23781A3410</t>
  </si>
  <si>
    <t>21781A3440</t>
  </si>
  <si>
    <t>20781A3455</t>
  </si>
  <si>
    <t>22781A3435</t>
  </si>
  <si>
    <t>21781A3441</t>
  </si>
  <si>
    <t>22781A3436</t>
  </si>
  <si>
    <t>21781A3442</t>
  </si>
  <si>
    <t>22781A3437</t>
  </si>
  <si>
    <t>22781A3438</t>
  </si>
  <si>
    <t>22781A3439</t>
  </si>
  <si>
    <t>21781A3443</t>
  </si>
  <si>
    <t>20781A3456</t>
  </si>
  <si>
    <t>23781A3411</t>
  </si>
  <si>
    <t>23781A3412</t>
  </si>
  <si>
    <t>22781A3440</t>
  </si>
  <si>
    <t>20781A3457</t>
  </si>
  <si>
    <t>21781A3444</t>
  </si>
  <si>
    <t>22781A3441</t>
  </si>
  <si>
    <t>22781A3442</t>
  </si>
  <si>
    <t>21781A3445</t>
  </si>
  <si>
    <t>22781A3443</t>
  </si>
  <si>
    <t>23781A3413</t>
  </si>
  <si>
    <t>20781A3458</t>
  </si>
  <si>
    <t>22781A3444</t>
  </si>
  <si>
    <t>20781A3459</t>
  </si>
  <si>
    <t>22781A3445</t>
  </si>
  <si>
    <t>20781A3460</t>
  </si>
  <si>
    <t>23781A3414</t>
  </si>
  <si>
    <t>23781A3415</t>
  </si>
  <si>
    <t>22781A3446</t>
  </si>
  <si>
    <t>23781A3416</t>
  </si>
  <si>
    <t>20781A3461</t>
  </si>
  <si>
    <t>22781A3447</t>
  </si>
  <si>
    <t>23781A3417</t>
  </si>
  <si>
    <t>23781A3418</t>
  </si>
  <si>
    <t>20781A3462</t>
  </si>
  <si>
    <t>21781A3446</t>
  </si>
  <si>
    <t>22781A3448</t>
  </si>
  <si>
    <t>22781A3449</t>
  </si>
  <si>
    <t>21781A3447</t>
  </si>
  <si>
    <t>23781A3419</t>
  </si>
  <si>
    <t>20781A3463</t>
  </si>
  <si>
    <t>20781A3464</t>
  </si>
  <si>
    <t>22781A3450</t>
  </si>
  <si>
    <t>21781A3448</t>
  </si>
  <si>
    <t>20781A3465</t>
  </si>
  <si>
    <t>22781A3451</t>
  </si>
  <si>
    <t>20781A3466</t>
  </si>
  <si>
    <t>22781A3452</t>
  </si>
  <si>
    <t>22781A3453</t>
  </si>
  <si>
    <t>23781A3420</t>
  </si>
  <si>
    <t>23781A3421</t>
  </si>
  <si>
    <t>22781A3454</t>
  </si>
  <si>
    <t>22781A3455</t>
  </si>
  <si>
    <t>20781A3467</t>
  </si>
  <si>
    <t>20781A3468</t>
  </si>
  <si>
    <t>22781A3456</t>
  </si>
  <si>
    <t>20781A3469</t>
  </si>
  <si>
    <t>23781A3422</t>
  </si>
  <si>
    <t>20781A3470</t>
  </si>
  <si>
    <t>Result</t>
  </si>
  <si>
    <t xml:space="preserve">Attendance </t>
  </si>
  <si>
    <t>Student_Name</t>
  </si>
  <si>
    <t>Roll_Number</t>
  </si>
  <si>
    <t>Studying_year</t>
  </si>
  <si>
    <t>Failed_Most_Sub</t>
  </si>
  <si>
    <t>Condonation_Status</t>
  </si>
  <si>
    <t>Detention_Status</t>
  </si>
  <si>
    <t>Row Labels</t>
  </si>
  <si>
    <t>Grand Total</t>
  </si>
  <si>
    <t>Count of Roll_Number</t>
  </si>
  <si>
    <t>Count of Result</t>
  </si>
  <si>
    <t>Column Labels</t>
  </si>
  <si>
    <t>No</t>
  </si>
  <si>
    <t>Yes</t>
  </si>
  <si>
    <t>Count of Condonation_Status</t>
  </si>
  <si>
    <t>Location</t>
  </si>
  <si>
    <t>Chittoor,"Madanapalli","Rajampeta","Tirupati")</t>
  </si>
  <si>
    <t>Passed</t>
  </si>
  <si>
    <t>Deep Learning</t>
  </si>
  <si>
    <t>Machine Learning</t>
  </si>
  <si>
    <t>DBMS</t>
  </si>
  <si>
    <t>M1</t>
  </si>
  <si>
    <t>(blank)</t>
  </si>
  <si>
    <t>Rayachoti</t>
  </si>
  <si>
    <t>Nellore</t>
  </si>
  <si>
    <t>Madanapalli</t>
  </si>
  <si>
    <t>Kadapa</t>
  </si>
  <si>
    <t>Tirupati</t>
  </si>
  <si>
    <t>Rajampeta</t>
  </si>
  <si>
    <t>)</t>
  </si>
  <si>
    <t>count of students</t>
  </si>
  <si>
    <t>pass</t>
  </si>
  <si>
    <t>Failed</t>
  </si>
  <si>
    <t>Chittoor</t>
  </si>
  <si>
    <t>Ananthapur</t>
  </si>
  <si>
    <t>Placements</t>
  </si>
  <si>
    <t>Placemnts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</si>
</sst>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2" tint="-0.24994659260841701"/>
      </font>
    </dxf>
  </dxfs>
  <tableStyles count="1" defaultTableStyle="TableStyleMedium2" defaultPivotStyle="PivotStyleLight16">
    <tableStyle name="Slicer Style 1" pivot="0" table="0" count="1" xr9:uid="{06719B66-2206-4385-BD31-F9A3A9D4F4E3}">
      <tableStyleElement type="wholeTable" dxfId="10"/>
    </tableStyle>
  </tableStyles>
  <colors>
    <mruColors>
      <color rgb="FFFA6C6C"/>
      <color rgb="FF33CC33"/>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5.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5"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aredStrings" Target="sharedStrings.xml"/><Relationship Id="rId32" Type="http://schemas.openxmlformats.org/officeDocument/2006/relationships/customXml" Target="../customXml/item4.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tyles" Target="styles.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6.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onnections" Target="connections.xml"/><Relationship Id="rId27" Type="http://schemas.microsoft.com/office/2017/10/relationships/person" Target="persons/person.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[Svcet Students Dashboard.xlsx]Total students by branch!PivotTable1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Students by Branch</a:t>
            </a:r>
          </a:p>
        </c:rich>
      </c:tx>
      <c:layout>
        <c:manualLayout>
          <c:xMode val="edge"/>
          <c:yMode val="edge"/>
          <c:x val="4.3486001749781282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'Total students by branch'!$B$3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BEA4-47DD-9272-4A59F42F6C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BEA4-47DD-9272-4A59F42F6C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A4-47DD-9272-4A59F42F6CF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6-BEA4-47DD-9272-4A59F42F6CF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7-BEA4-47DD-9272-4A59F42F6CF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8-BEA4-47DD-9272-4A59F42F6CF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45E-427E-9C3E-3C78CE8A416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students by branch'!$A$4:$A$11</c:f>
              <c:strCache>
                <c:ptCount val="7"/>
                <c:pt idx="0">
                  <c:v>CIVIL</c:v>
                </c:pt>
                <c:pt idx="1">
                  <c:v>CSE</c:v>
                </c:pt>
                <c:pt idx="2">
                  <c:v>ECE</c:v>
                </c:pt>
                <c:pt idx="3">
                  <c:v>EEE</c:v>
                </c:pt>
                <c:pt idx="4">
                  <c:v>IT</c:v>
                </c:pt>
                <c:pt idx="5">
                  <c:v>MECH</c:v>
                </c:pt>
                <c:pt idx="6">
                  <c:v>(blank)</c:v>
                </c:pt>
              </c:strCache>
            </c:strRef>
          </c:cat>
          <c:val>
            <c:numRef>
              <c:f>'Total students by branch'!$B$4:$B$11</c:f>
              <c:numCache>
                <c:formatCode>General</c:formatCode>
                <c:ptCount val="7"/>
                <c:pt idx="0">
                  <c:v>145</c:v>
                </c:pt>
                <c:pt idx="1">
                  <c:v>180</c:v>
                </c:pt>
                <c:pt idx="2">
                  <c:v>158</c:v>
                </c:pt>
                <c:pt idx="3">
                  <c:v>132</c:v>
                </c:pt>
                <c:pt idx="4">
                  <c:v>183</c:v>
                </c:pt>
                <c:pt idx="5">
                  <c:v>202</c:v>
                </c:pt>
              </c:numCache>
            </c:numRef>
          </c:val>
          <c:extLst>
            <c:ext xmlns:c16="http://schemas.microsoft.com/office/drawing/2014/chart" uri="{C3380CC4-5D6E-409C-BE32-E72D297353CC}">
              <c16:uniqueId val="{00000000-BEA4-47DD-9272-4A59F42F6CFB}"/>
            </c:ext>
          </c:extLst>
        </c:ser>
        <c:dLbls>
          <c:showLegendKey val="0"/>
          <c:showVal val="0"/>
          <c:showCatName val="0"/>
          <c:showSerName val="0"/>
          <c:showPercent val="0"/>
          <c:showBubbleSize val="0"/>
          <c:showLeaderLines val="0"/>
        </c:dLbls>
        <c:firstSliceAng val="0"/>
      </c:pieChart>
      <c:spPr>
        <a:noFill/>
        <a:ln>
          <a:noFill/>
        </a:ln>
        <a:effectLst>
          <a:glow rad="25400">
            <a:schemeClr val="accent1">
              <a:alpha val="40000"/>
            </a:schemeClr>
          </a:glow>
          <a:outerShdw blurRad="50800" dist="50800" dir="6420000" algn="ctr" rotWithShape="0">
            <a:schemeClr val="bg1"/>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[Svcet Students Dashboard.xlsx]Branch by Pass&amp;Failed!PivotTable16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Branch</a:t>
            </a:r>
            <a:r>
              <a:rPr lang="en-IN" baseline="0"/>
              <a:t> by Pass&amp;Failed</a:t>
            </a:r>
            <a:endParaRPr lang="en-IN"/>
          </a:p>
        </c:rich>
      </c:tx>
      <c:layout>
        <c:manualLayout>
          <c:xMode val="edge"/>
          <c:yMode val="edge"/>
          <c:x val="3.061111111111109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33CC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 by Pass&amp;Failed'!$B$3:$B$4</c:f>
              <c:strCache>
                <c:ptCount val="1"/>
                <c:pt idx="0">
                  <c:v>Fail</c:v>
                </c:pt>
              </c:strCache>
            </c:strRef>
          </c:tx>
          <c:spPr>
            <a:solidFill>
              <a:srgbClr val="33CC33"/>
            </a:solidFill>
            <a:ln>
              <a:noFill/>
            </a:ln>
            <a:effectLst/>
          </c:spPr>
          <c:invertIfNegative val="0"/>
          <c:cat>
            <c:strRef>
              <c:f>'Branch by Pass&amp;Failed'!$A$5:$A$10</c:f>
              <c:strCache>
                <c:ptCount val="6"/>
                <c:pt idx="0">
                  <c:v>CIVIL</c:v>
                </c:pt>
                <c:pt idx="1">
                  <c:v>CSE</c:v>
                </c:pt>
                <c:pt idx="2">
                  <c:v>ECE</c:v>
                </c:pt>
                <c:pt idx="3">
                  <c:v>EEE</c:v>
                </c:pt>
                <c:pt idx="4">
                  <c:v>IT</c:v>
                </c:pt>
                <c:pt idx="5">
                  <c:v>MECH</c:v>
                </c:pt>
              </c:strCache>
            </c:strRef>
          </c:cat>
          <c:val>
            <c:numRef>
              <c:f>'Branch by Pass&amp;Failed'!$B$5:$B$10</c:f>
              <c:numCache>
                <c:formatCode>General</c:formatCode>
                <c:ptCount val="6"/>
                <c:pt idx="0">
                  <c:v>21</c:v>
                </c:pt>
                <c:pt idx="1">
                  <c:v>22</c:v>
                </c:pt>
                <c:pt idx="2">
                  <c:v>23</c:v>
                </c:pt>
                <c:pt idx="3">
                  <c:v>11</c:v>
                </c:pt>
                <c:pt idx="4">
                  <c:v>23</c:v>
                </c:pt>
                <c:pt idx="5">
                  <c:v>19</c:v>
                </c:pt>
              </c:numCache>
            </c:numRef>
          </c:val>
          <c:extLst>
            <c:ext xmlns:c16="http://schemas.microsoft.com/office/drawing/2014/chart" uri="{C3380CC4-5D6E-409C-BE32-E72D297353CC}">
              <c16:uniqueId val="{00000000-B4E1-4470-B123-61792D805F38}"/>
            </c:ext>
          </c:extLst>
        </c:ser>
        <c:ser>
          <c:idx val="1"/>
          <c:order val="1"/>
          <c:tx>
            <c:strRef>
              <c:f>'Branch by Pass&amp;Failed'!$C$3:$C$4</c:f>
              <c:strCache>
                <c:ptCount val="1"/>
                <c:pt idx="0">
                  <c:v>Pass</c:v>
                </c:pt>
              </c:strCache>
            </c:strRef>
          </c:tx>
          <c:spPr>
            <a:solidFill>
              <a:schemeClr val="accent4"/>
            </a:solidFill>
            <a:ln>
              <a:noFill/>
            </a:ln>
            <a:effectLst/>
          </c:spPr>
          <c:invertIfNegative val="0"/>
          <c:cat>
            <c:strRef>
              <c:f>'Branch by Pass&amp;Failed'!$A$5:$A$10</c:f>
              <c:strCache>
                <c:ptCount val="6"/>
                <c:pt idx="0">
                  <c:v>CIVIL</c:v>
                </c:pt>
                <c:pt idx="1">
                  <c:v>CSE</c:v>
                </c:pt>
                <c:pt idx="2">
                  <c:v>ECE</c:v>
                </c:pt>
                <c:pt idx="3">
                  <c:v>EEE</c:v>
                </c:pt>
                <c:pt idx="4">
                  <c:v>IT</c:v>
                </c:pt>
                <c:pt idx="5">
                  <c:v>MECH</c:v>
                </c:pt>
              </c:strCache>
            </c:strRef>
          </c:cat>
          <c:val>
            <c:numRef>
              <c:f>'Branch by Pass&amp;Failed'!$C$5:$C$10</c:f>
              <c:numCache>
                <c:formatCode>General</c:formatCode>
                <c:ptCount val="6"/>
                <c:pt idx="0">
                  <c:v>124</c:v>
                </c:pt>
                <c:pt idx="1">
                  <c:v>158</c:v>
                </c:pt>
                <c:pt idx="2">
                  <c:v>135</c:v>
                </c:pt>
                <c:pt idx="3">
                  <c:v>121</c:v>
                </c:pt>
                <c:pt idx="4">
                  <c:v>160</c:v>
                </c:pt>
                <c:pt idx="5">
                  <c:v>183</c:v>
                </c:pt>
              </c:numCache>
            </c:numRef>
          </c:val>
          <c:extLst>
            <c:ext xmlns:c16="http://schemas.microsoft.com/office/drawing/2014/chart" uri="{C3380CC4-5D6E-409C-BE32-E72D297353CC}">
              <c16:uniqueId val="{00000001-B4E1-4470-B123-61792D805F38}"/>
            </c:ext>
          </c:extLst>
        </c:ser>
        <c:dLbls>
          <c:showLegendKey val="0"/>
          <c:showVal val="0"/>
          <c:showCatName val="0"/>
          <c:showSerName val="0"/>
          <c:showPercent val="0"/>
          <c:showBubbleSize val="0"/>
        </c:dLbls>
        <c:gapWidth val="219"/>
        <c:overlap val="-27"/>
        <c:axId val="1380703152"/>
        <c:axId val="1380709392"/>
      </c:barChart>
      <c:catAx>
        <c:axId val="138070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709392"/>
        <c:crosses val="autoZero"/>
        <c:auto val="1"/>
        <c:lblAlgn val="ctr"/>
        <c:lblOffset val="100"/>
        <c:noMultiLvlLbl val="0"/>
      </c:catAx>
      <c:valAx>
        <c:axId val="138070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70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[Svcet Students Dashboard.xlsx]Sum of Condonation by Branch!PivotTable17</c:name>
    <c:fmtId val="0"/>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IN"/>
              <a:t>Sum</a:t>
            </a:r>
            <a:r>
              <a:rPr lang="en-IN" baseline="0"/>
              <a:t> of </a:t>
            </a:r>
            <a:r>
              <a:rPr lang="en-IN"/>
              <a:t>Condonation by Branch</a:t>
            </a:r>
            <a:r>
              <a:rPr lang="en-IN" baseline="0"/>
              <a:t> </a:t>
            </a:r>
            <a:endParaRPr lang="en-IN"/>
          </a:p>
        </c:rich>
      </c:tx>
      <c:layout>
        <c:manualLayout>
          <c:xMode val="edge"/>
          <c:yMode val="edge"/>
          <c:x val="1.979855643044621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IN"/>
        </a:p>
      </c:txPr>
    </c:title>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358705161854765E-2"/>
          <c:y val="0.18097222222222226"/>
          <c:w val="0.7547799650043745"/>
          <c:h val="0.72125801983085447"/>
        </c:manualLayout>
      </c:layout>
      <c:barChart>
        <c:barDir val="col"/>
        <c:grouping val="clustered"/>
        <c:varyColors val="0"/>
        <c:ser>
          <c:idx val="0"/>
          <c:order val="0"/>
          <c:tx>
            <c:strRef>
              <c:f>'Sum of Condonation by Branch'!$B$3:$B$4</c:f>
              <c:strCache>
                <c:ptCount val="1"/>
                <c:pt idx="0">
                  <c:v>No</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Condonation by Branch'!$A$5:$A$12</c:f>
              <c:strCache>
                <c:ptCount val="7"/>
                <c:pt idx="0">
                  <c:v>CIVIL</c:v>
                </c:pt>
                <c:pt idx="1">
                  <c:v>CSE</c:v>
                </c:pt>
                <c:pt idx="2">
                  <c:v>ECE</c:v>
                </c:pt>
                <c:pt idx="3">
                  <c:v>EEE</c:v>
                </c:pt>
                <c:pt idx="4">
                  <c:v>IT</c:v>
                </c:pt>
                <c:pt idx="5">
                  <c:v>MECH</c:v>
                </c:pt>
                <c:pt idx="6">
                  <c:v>(blank)</c:v>
                </c:pt>
              </c:strCache>
            </c:strRef>
          </c:cat>
          <c:val>
            <c:numRef>
              <c:f>'Sum of Condonation by Branch'!$B$5:$B$12</c:f>
              <c:numCache>
                <c:formatCode>General</c:formatCode>
                <c:ptCount val="7"/>
                <c:pt idx="0">
                  <c:v>116</c:v>
                </c:pt>
                <c:pt idx="1">
                  <c:v>131</c:v>
                </c:pt>
                <c:pt idx="2">
                  <c:v>124</c:v>
                </c:pt>
                <c:pt idx="3">
                  <c:v>98</c:v>
                </c:pt>
                <c:pt idx="4">
                  <c:v>137</c:v>
                </c:pt>
                <c:pt idx="5">
                  <c:v>151</c:v>
                </c:pt>
              </c:numCache>
            </c:numRef>
          </c:val>
          <c:extLst>
            <c:ext xmlns:c16="http://schemas.microsoft.com/office/drawing/2014/chart" uri="{C3380CC4-5D6E-409C-BE32-E72D297353CC}">
              <c16:uniqueId val="{00000000-39CE-43B8-B705-ECAFDE593D35}"/>
            </c:ext>
          </c:extLst>
        </c:ser>
        <c:ser>
          <c:idx val="1"/>
          <c:order val="1"/>
          <c:tx>
            <c:strRef>
              <c:f>'Sum of Condonation by Branch'!$C$3:$C$4</c:f>
              <c:strCache>
                <c:ptCount val="1"/>
                <c:pt idx="0">
                  <c:v>Yes</c:v>
                </c:pt>
              </c:strCache>
            </c:strRef>
          </c:tx>
          <c:spPr>
            <a:solidFill>
              <a:schemeClr val="accent2"/>
            </a:solidFill>
            <a:ln>
              <a:solidFill>
                <a:schemeClr val="accent1">
                  <a:lumMod val="60000"/>
                  <a:lumOff val="40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Condonation by Branch'!$A$5:$A$12</c:f>
              <c:strCache>
                <c:ptCount val="7"/>
                <c:pt idx="0">
                  <c:v>CIVIL</c:v>
                </c:pt>
                <c:pt idx="1">
                  <c:v>CSE</c:v>
                </c:pt>
                <c:pt idx="2">
                  <c:v>ECE</c:v>
                </c:pt>
                <c:pt idx="3">
                  <c:v>EEE</c:v>
                </c:pt>
                <c:pt idx="4">
                  <c:v>IT</c:v>
                </c:pt>
                <c:pt idx="5">
                  <c:v>MECH</c:v>
                </c:pt>
                <c:pt idx="6">
                  <c:v>(blank)</c:v>
                </c:pt>
              </c:strCache>
            </c:strRef>
          </c:cat>
          <c:val>
            <c:numRef>
              <c:f>'Sum of Condonation by Branch'!$C$5:$C$12</c:f>
              <c:numCache>
                <c:formatCode>General</c:formatCode>
                <c:ptCount val="7"/>
                <c:pt idx="0">
                  <c:v>29</c:v>
                </c:pt>
                <c:pt idx="1">
                  <c:v>49</c:v>
                </c:pt>
                <c:pt idx="2">
                  <c:v>34</c:v>
                </c:pt>
                <c:pt idx="3">
                  <c:v>34</c:v>
                </c:pt>
                <c:pt idx="4">
                  <c:v>46</c:v>
                </c:pt>
                <c:pt idx="5">
                  <c:v>51</c:v>
                </c:pt>
              </c:numCache>
            </c:numRef>
          </c:val>
          <c:extLst>
            <c:ext xmlns:c16="http://schemas.microsoft.com/office/drawing/2014/chart" uri="{C3380CC4-5D6E-409C-BE32-E72D297353CC}">
              <c16:uniqueId val="{00000002-4752-428B-B963-E41EA324C410}"/>
            </c:ext>
          </c:extLst>
        </c:ser>
        <c:ser>
          <c:idx val="2"/>
          <c:order val="2"/>
          <c:tx>
            <c:strRef>
              <c:f>'Sum of Condonation by Branch'!$D$3:$D$4</c:f>
              <c:strCache>
                <c:ptCount val="1"/>
                <c:pt idx="0">
                  <c:v>(blank)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Condonation by Branch'!$A$5:$A$12</c:f>
              <c:strCache>
                <c:ptCount val="7"/>
                <c:pt idx="0">
                  <c:v>CIVIL</c:v>
                </c:pt>
                <c:pt idx="1">
                  <c:v>CSE</c:v>
                </c:pt>
                <c:pt idx="2">
                  <c:v>ECE</c:v>
                </c:pt>
                <c:pt idx="3">
                  <c:v>EEE</c:v>
                </c:pt>
                <c:pt idx="4">
                  <c:v>IT</c:v>
                </c:pt>
                <c:pt idx="5">
                  <c:v>MECH</c:v>
                </c:pt>
                <c:pt idx="6">
                  <c:v>(blank)</c:v>
                </c:pt>
              </c:strCache>
            </c:strRef>
          </c:cat>
          <c:val>
            <c:numRef>
              <c:f>'Sum of Condonation by Branch'!$D$5:$D$12</c:f>
              <c:numCache>
                <c:formatCode>General</c:formatCode>
                <c:ptCount val="7"/>
              </c:numCache>
            </c:numRef>
          </c:val>
          <c:extLst>
            <c:ext xmlns:c16="http://schemas.microsoft.com/office/drawing/2014/chart" uri="{C3380CC4-5D6E-409C-BE32-E72D297353CC}">
              <c16:uniqueId val="{00000003-4752-428B-B963-E41EA324C410}"/>
            </c:ext>
          </c:extLst>
        </c:ser>
        <c:dLbls>
          <c:showLegendKey val="0"/>
          <c:showVal val="1"/>
          <c:showCatName val="0"/>
          <c:showSerName val="0"/>
          <c:showPercent val="0"/>
          <c:showBubbleSize val="0"/>
        </c:dLbls>
        <c:gapWidth val="219"/>
        <c:axId val="1462700944"/>
        <c:axId val="1462692784"/>
      </c:barChart>
      <c:catAx>
        <c:axId val="146270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462692784"/>
        <c:crosses val="autoZero"/>
        <c:auto val="1"/>
        <c:lblAlgn val="ctr"/>
        <c:lblOffset val="100"/>
        <c:noMultiLvlLbl val="0"/>
      </c:catAx>
      <c:valAx>
        <c:axId val="1462692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46270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[Svcet Students Dashboard.xlsx]Passed by Year!PivotTable22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Passed by Year</a:t>
            </a:r>
          </a:p>
        </c:rich>
      </c:tx>
      <c:layout>
        <c:manualLayout>
          <c:xMode val="edge"/>
          <c:yMode val="edge"/>
          <c:x val="2.1750000000000037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lumMod val="60000"/>
                <a:lumOff val="40000"/>
              </a:schemeClr>
            </a:solidFill>
            <a:round/>
          </a:ln>
          <a:effectLst/>
        </c:spPr>
        <c:marker>
          <c:symbol val="circle"/>
          <c:size val="5"/>
          <c:spPr>
            <a:solidFill>
              <a:srgbClr val="00B050"/>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60000"/>
                <a:lumOff val="40000"/>
              </a:schemeClr>
            </a:solidFill>
            <a:round/>
          </a:ln>
          <a:effectLst/>
        </c:spPr>
        <c:marker>
          <c:symbol val="circle"/>
          <c:size val="5"/>
          <c:spPr>
            <a:solidFill>
              <a:srgbClr val="00B050"/>
            </a:solidFill>
            <a:ln w="9525">
              <a:solidFill>
                <a:schemeClr val="accent1">
                  <a:lumMod val="60000"/>
                  <a:lumOff val="40000"/>
                </a:schemeClr>
              </a:solidFill>
            </a:ln>
            <a:effectLst/>
          </c:spPr>
        </c:marker>
      </c:pivotFmt>
      <c:pivotFmt>
        <c:idx val="3"/>
        <c:spPr>
          <a:ln w="28575" cap="rnd">
            <a:solidFill>
              <a:schemeClr val="accent1">
                <a:lumMod val="60000"/>
                <a:lumOff val="40000"/>
              </a:schemeClr>
            </a:solidFill>
            <a:round/>
          </a:ln>
          <a:effectLst/>
        </c:spPr>
        <c:marker>
          <c:symbol val="circle"/>
          <c:size val="5"/>
          <c:spPr>
            <a:solidFill>
              <a:srgbClr val="00B050"/>
            </a:solidFill>
            <a:ln w="9525">
              <a:solidFill>
                <a:schemeClr val="accent1">
                  <a:lumMod val="60000"/>
                  <a:lumOff val="40000"/>
                </a:schemeClr>
              </a:solidFill>
            </a:ln>
            <a:effectLst/>
          </c:spPr>
        </c:marker>
      </c:pivotFmt>
      <c:pivotFmt>
        <c:idx val="4"/>
        <c:spPr>
          <a:ln w="28575" cap="rnd">
            <a:solidFill>
              <a:schemeClr val="accent1">
                <a:lumMod val="60000"/>
                <a:lumOff val="40000"/>
              </a:schemeClr>
            </a:solidFill>
            <a:round/>
          </a:ln>
          <a:effectLst/>
        </c:spPr>
        <c:marker>
          <c:symbol val="circle"/>
          <c:size val="5"/>
          <c:spPr>
            <a:solidFill>
              <a:srgbClr val="00B050"/>
            </a:solidFill>
            <a:ln w="9525">
              <a:solidFill>
                <a:schemeClr val="accent1">
                  <a:lumMod val="60000"/>
                  <a:lumOff val="40000"/>
                </a:schemeClr>
              </a:solidFill>
            </a:ln>
            <a:effectLst/>
          </c:spPr>
        </c:marker>
      </c:pivotFmt>
    </c:pivotFmts>
    <c:plotArea>
      <c:layout/>
      <c:lineChart>
        <c:grouping val="standard"/>
        <c:varyColors val="0"/>
        <c:ser>
          <c:idx val="0"/>
          <c:order val="0"/>
          <c:tx>
            <c:strRef>
              <c:f>'Passed by Year'!$B$3:$B$4</c:f>
              <c:strCache>
                <c:ptCount val="1"/>
                <c:pt idx="0">
                  <c:v>Pass</c:v>
                </c:pt>
              </c:strCache>
            </c:strRef>
          </c:tx>
          <c:spPr>
            <a:ln w="28575" cap="rnd">
              <a:solidFill>
                <a:schemeClr val="accent1">
                  <a:lumMod val="60000"/>
                  <a:lumOff val="40000"/>
                </a:schemeClr>
              </a:solidFill>
              <a:round/>
            </a:ln>
            <a:effectLst/>
          </c:spPr>
          <c:marker>
            <c:symbol val="circle"/>
            <c:size val="5"/>
            <c:spPr>
              <a:solidFill>
                <a:srgbClr val="00B050"/>
              </a:solidFill>
              <a:ln w="9525">
                <a:solidFill>
                  <a:schemeClr val="accent1">
                    <a:lumMod val="60000"/>
                    <a:lumOff val="40000"/>
                  </a:schemeClr>
                </a:solidFill>
              </a:ln>
              <a:effectLst/>
            </c:spPr>
          </c:marker>
          <c:cat>
            <c:strRef>
              <c:f>'Passed by Year'!$A$5:$A$9</c:f>
              <c:strCache>
                <c:ptCount val="4"/>
                <c:pt idx="0">
                  <c:v>1st Year</c:v>
                </c:pt>
                <c:pt idx="1">
                  <c:v>2nd Year</c:v>
                </c:pt>
                <c:pt idx="2">
                  <c:v>3rd Year</c:v>
                </c:pt>
                <c:pt idx="3">
                  <c:v>4th Year</c:v>
                </c:pt>
              </c:strCache>
            </c:strRef>
          </c:cat>
          <c:val>
            <c:numRef>
              <c:f>'Passed by Year'!$B$5:$B$9</c:f>
              <c:numCache>
                <c:formatCode>General</c:formatCode>
                <c:ptCount val="4"/>
                <c:pt idx="0">
                  <c:v>194</c:v>
                </c:pt>
                <c:pt idx="1">
                  <c:v>222</c:v>
                </c:pt>
                <c:pt idx="2">
                  <c:v>224</c:v>
                </c:pt>
                <c:pt idx="3">
                  <c:v>241</c:v>
                </c:pt>
              </c:numCache>
            </c:numRef>
          </c:val>
          <c:smooth val="1"/>
          <c:extLst>
            <c:ext xmlns:c16="http://schemas.microsoft.com/office/drawing/2014/chart" uri="{C3380CC4-5D6E-409C-BE32-E72D297353CC}">
              <c16:uniqueId val="{00000000-7F19-4B2A-A2BD-40FF6053A08E}"/>
            </c:ext>
          </c:extLst>
        </c:ser>
        <c:dLbls>
          <c:showLegendKey val="0"/>
          <c:showVal val="0"/>
          <c:showCatName val="0"/>
          <c:showSerName val="0"/>
          <c:showPercent val="0"/>
          <c:showBubbleSize val="0"/>
        </c:dLbls>
        <c:marker val="1"/>
        <c:smooth val="0"/>
        <c:axId val="1420715504"/>
        <c:axId val="1420715984"/>
      </c:lineChart>
      <c:catAx>
        <c:axId val="142071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715984"/>
        <c:crosses val="autoZero"/>
        <c:auto val="1"/>
        <c:lblAlgn val="ctr"/>
        <c:lblOffset val="100"/>
        <c:noMultiLvlLbl val="0"/>
      </c:catAx>
      <c:valAx>
        <c:axId val="142071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71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[Svcet Students Dashboard.xlsx]Pass&amp;Fail percentage  by colleg!PivotTable1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Pass&amp;Fail</a:t>
            </a:r>
            <a:r>
              <a:rPr lang="en-US" baseline="0"/>
              <a:t> percentage  by college</a:t>
            </a:r>
            <a:endParaRPr lang="en-US"/>
          </a:p>
        </c:rich>
      </c:tx>
      <c:layout>
        <c:manualLayout>
          <c:xMode val="edge"/>
          <c:yMode val="edge"/>
          <c:x val="2.9402668416447932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s>
    <c:plotArea>
      <c:layout/>
      <c:doughnutChart>
        <c:varyColors val="1"/>
        <c:ser>
          <c:idx val="0"/>
          <c:order val="0"/>
          <c:tx>
            <c:strRef>
              <c:f>'Pass&amp;Fail percentage  by colleg'!$B$3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091-4641-8E98-1738ACDFE69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5091-4641-8E98-1738ACDFE69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5091-4641-8E98-1738ACDFE6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'Pass&amp;Fail percentage  by colleg'!$A$4:$A$7</c:f>
              <c:strCache>
                <c:ptCount val="3"/>
                <c:pt idx="0">
                  <c:v>Fail</c:v>
                </c:pt>
                <c:pt idx="1">
                  <c:v>Pass</c:v>
                </c:pt>
                <c:pt idx="2">
                  <c:v>(blank)</c:v>
                </c:pt>
              </c:strCache>
            </c:strRef>
          </c:cat>
          <c:val>
            <c:numRef>
              <c:f>'Pass&amp;Fail percentage  by colleg'!$B$4:$B$7</c:f>
              <c:numCache>
                <c:formatCode>General</c:formatCode>
                <c:ptCount val="3"/>
                <c:pt idx="0">
                  <c:v>119</c:v>
                </c:pt>
                <c:pt idx="1">
                  <c:v>881</c:v>
                </c:pt>
              </c:numCache>
            </c:numRef>
          </c:val>
          <c:extLst>
            <c:ext xmlns:c16="http://schemas.microsoft.com/office/drawing/2014/chart" uri="{C3380CC4-5D6E-409C-BE32-E72D297353CC}">
              <c16:uniqueId val="{00000000-B94C-4ED8-A213-354BF23C18D8}"/>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[Svcet Students Dashboard.xlsx]Sum of Count by Most Failed Sub!PivotTable4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Sum of Count by Most Failed Sub </a:t>
            </a:r>
          </a:p>
        </c:rich>
      </c:tx>
      <c:layout>
        <c:manualLayout>
          <c:xMode val="edge"/>
          <c:yMode val="edge"/>
          <c:x val="6.3194444444444442E-2"/>
          <c:y val="4.16666666666666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 of Count by Most Failed Sub'!$B$3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Count by Most Failed Sub'!$A$4:$A$10</c:f>
              <c:strCache>
                <c:ptCount val="6"/>
                <c:pt idx="0">
                  <c:v>DBMS</c:v>
                </c:pt>
                <c:pt idx="1">
                  <c:v>Deep Learning</c:v>
                </c:pt>
                <c:pt idx="2">
                  <c:v>M1</c:v>
                </c:pt>
                <c:pt idx="3">
                  <c:v>Machine Learning</c:v>
                </c:pt>
                <c:pt idx="4">
                  <c:v>Passed</c:v>
                </c:pt>
              </c:strCache>
            </c:strRef>
          </c:cat>
          <c:val>
            <c:numRef>
              <c:f>'Sum of Count by Most Failed Sub'!$B$4:$B$10</c:f>
              <c:numCache>
                <c:formatCode>General</c:formatCode>
                <c:ptCount val="6"/>
                <c:pt idx="0">
                  <c:v>35</c:v>
                </c:pt>
                <c:pt idx="1">
                  <c:v>30</c:v>
                </c:pt>
                <c:pt idx="2">
                  <c:v>29</c:v>
                </c:pt>
                <c:pt idx="3">
                  <c:v>25</c:v>
                </c:pt>
                <c:pt idx="4">
                  <c:v>881</c:v>
                </c:pt>
              </c:numCache>
            </c:numRef>
          </c:val>
          <c:extLst>
            <c:ext xmlns:c16="http://schemas.microsoft.com/office/drawing/2014/chart" uri="{C3380CC4-5D6E-409C-BE32-E72D297353CC}">
              <c16:uniqueId val="{00000000-BD71-4E4A-9FF8-175B46654054}"/>
            </c:ext>
          </c:extLst>
        </c:ser>
        <c:dLbls>
          <c:dLblPos val="outEnd"/>
          <c:showLegendKey val="0"/>
          <c:showVal val="1"/>
          <c:showCatName val="0"/>
          <c:showSerName val="0"/>
          <c:showPercent val="0"/>
          <c:showBubbleSize val="0"/>
        </c:dLbls>
        <c:gapWidth val="115"/>
        <c:overlap val="-20"/>
        <c:axId val="1012110367"/>
        <c:axId val="1012112767"/>
      </c:barChart>
      <c:catAx>
        <c:axId val="101211036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112767"/>
        <c:crosses val="autoZero"/>
        <c:auto val="1"/>
        <c:lblAlgn val="ctr"/>
        <c:lblOffset val="100"/>
        <c:noMultiLvlLbl val="0"/>
      </c:catAx>
      <c:valAx>
        <c:axId val="1012112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11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[Svcet Students Dashboard.xlsx]Total students by branch!PivotTable1</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Students by Branch</a:t>
            </a:r>
          </a:p>
        </c:rich>
      </c:tx>
      <c:layout>
        <c:manualLayout>
          <c:xMode val="edge"/>
          <c:yMode val="edge"/>
          <c:x val="4.3486001749781282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'Total students by branch'!$B$3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7A-4EA6-AD33-3FC90607C4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7A-4EA6-AD33-3FC90607C4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7A-4EA6-AD33-3FC90607C4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07A-4EA6-AD33-3FC90607C42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07A-4EA6-AD33-3FC90607C42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07A-4EA6-AD33-3FC90607C42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07A-4EA6-AD33-3FC90607C42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students by branch'!$A$4:$A$11</c:f>
              <c:strCache>
                <c:ptCount val="7"/>
                <c:pt idx="0">
                  <c:v>CIVIL</c:v>
                </c:pt>
                <c:pt idx="1">
                  <c:v>CSE</c:v>
                </c:pt>
                <c:pt idx="2">
                  <c:v>ECE</c:v>
                </c:pt>
                <c:pt idx="3">
                  <c:v>EEE</c:v>
                </c:pt>
                <c:pt idx="4">
                  <c:v>IT</c:v>
                </c:pt>
                <c:pt idx="5">
                  <c:v>MECH</c:v>
                </c:pt>
                <c:pt idx="6">
                  <c:v>(blank)</c:v>
                </c:pt>
              </c:strCache>
            </c:strRef>
          </c:cat>
          <c:val>
            <c:numRef>
              <c:f>'Total students by branch'!$B$4:$B$11</c:f>
              <c:numCache>
                <c:formatCode>General</c:formatCode>
                <c:ptCount val="7"/>
                <c:pt idx="0">
                  <c:v>145</c:v>
                </c:pt>
                <c:pt idx="1">
                  <c:v>180</c:v>
                </c:pt>
                <c:pt idx="2">
                  <c:v>158</c:v>
                </c:pt>
                <c:pt idx="3">
                  <c:v>132</c:v>
                </c:pt>
                <c:pt idx="4">
                  <c:v>183</c:v>
                </c:pt>
                <c:pt idx="5">
                  <c:v>202</c:v>
                </c:pt>
              </c:numCache>
            </c:numRef>
          </c:val>
          <c:extLst>
            <c:ext xmlns:c16="http://schemas.microsoft.com/office/drawing/2014/chart" uri="{C3380CC4-5D6E-409C-BE32-E72D297353CC}">
              <c16:uniqueId val="{0000000E-907A-4EA6-AD33-3FC90607C426}"/>
            </c:ext>
          </c:extLst>
        </c:ser>
        <c:dLbls>
          <c:showLegendKey val="0"/>
          <c:showVal val="0"/>
          <c:showCatName val="0"/>
          <c:showSerName val="0"/>
          <c:showPercent val="0"/>
          <c:showBubbleSize val="0"/>
          <c:showLeaderLines val="0"/>
        </c:dLbls>
        <c:firstSliceAng val="0"/>
      </c:pieChart>
      <c:spPr>
        <a:noFill/>
        <a:ln>
          <a:noFill/>
        </a:ln>
        <a:effectLst>
          <a:glow rad="25400">
            <a:schemeClr val="accent1">
              <a:alpha val="40000"/>
            </a:schemeClr>
          </a:glow>
          <a:outerShdw blurRad="50800" dist="50800" dir="6420000" algn="ctr" rotWithShape="0">
            <a:schemeClr val="bg1"/>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[Svcet Students Dashboard.xlsx]Branch by Pass&amp;Failed!PivotTable16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Branch</a:t>
            </a:r>
            <a:r>
              <a:rPr lang="en-IN" baseline="0"/>
              <a:t> by Pass&amp;Failed</a:t>
            </a:r>
            <a:endParaRPr lang="en-IN"/>
          </a:p>
        </c:rich>
      </c:tx>
      <c:layout>
        <c:manualLayout>
          <c:xMode val="edge"/>
          <c:yMode val="edge"/>
          <c:x val="3.061111111111109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33CC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3CC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3CC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 by Pass&amp;Failed'!$B$3:$B$4</c:f>
              <c:strCache>
                <c:ptCount val="1"/>
                <c:pt idx="0">
                  <c:v>Fail</c:v>
                </c:pt>
              </c:strCache>
            </c:strRef>
          </c:tx>
          <c:spPr>
            <a:solidFill>
              <a:srgbClr val="33CC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'Branch by Pass&amp;Failed'!$A$5:$A$10</c:f>
              <c:strCache>
                <c:ptCount val="6"/>
                <c:pt idx="0">
                  <c:v>CIVIL</c:v>
                </c:pt>
                <c:pt idx="1">
                  <c:v>CSE</c:v>
                </c:pt>
                <c:pt idx="2">
                  <c:v>ECE</c:v>
                </c:pt>
                <c:pt idx="3">
                  <c:v>EEE</c:v>
                </c:pt>
                <c:pt idx="4">
                  <c:v>IT</c:v>
                </c:pt>
                <c:pt idx="5">
                  <c:v>MECH</c:v>
                </c:pt>
              </c:strCache>
            </c:strRef>
          </c:cat>
          <c:val>
            <c:numRef>
              <c:f>'Branch by Pass&amp;Failed'!$B$5:$B$10</c:f>
              <c:numCache>
                <c:formatCode>General</c:formatCode>
                <c:ptCount val="6"/>
                <c:pt idx="0">
                  <c:v>21</c:v>
                </c:pt>
                <c:pt idx="1">
                  <c:v>22</c:v>
                </c:pt>
                <c:pt idx="2">
                  <c:v>23</c:v>
                </c:pt>
                <c:pt idx="3">
                  <c:v>11</c:v>
                </c:pt>
                <c:pt idx="4">
                  <c:v>23</c:v>
                </c:pt>
                <c:pt idx="5">
                  <c:v>19</c:v>
                </c:pt>
              </c:numCache>
            </c:numRef>
          </c:val>
          <c:extLst>
            <c:ext xmlns:c16="http://schemas.microsoft.com/office/drawing/2014/chart" uri="{C3380CC4-5D6E-409C-BE32-E72D297353CC}">
              <c16:uniqueId val="{00000000-9DF7-41E7-A9D2-8C298FB80150}"/>
            </c:ext>
          </c:extLst>
        </c:ser>
        <c:ser>
          <c:idx val="1"/>
          <c:order val="1"/>
          <c:tx>
            <c:strRef>
              <c:f>'Branch by Pass&amp;Failed'!$C$3:$C$4</c:f>
              <c:strCache>
                <c:ptCount val="1"/>
                <c:pt idx="0">
                  <c:v>Pass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'Branch by Pass&amp;Failed'!$A$5:$A$10</c:f>
              <c:strCache>
                <c:ptCount val="6"/>
                <c:pt idx="0">
                  <c:v>CIVIL</c:v>
                </c:pt>
                <c:pt idx="1">
                  <c:v>CSE</c:v>
                </c:pt>
                <c:pt idx="2">
                  <c:v>ECE</c:v>
                </c:pt>
                <c:pt idx="3">
                  <c:v>EEE</c:v>
                </c:pt>
                <c:pt idx="4">
                  <c:v>IT</c:v>
                </c:pt>
                <c:pt idx="5">
                  <c:v>MECH</c:v>
                </c:pt>
              </c:strCache>
            </c:strRef>
          </c:cat>
          <c:val>
            <c:numRef>
              <c:f>'Branch by Pass&amp;Failed'!$C$5:$C$10</c:f>
              <c:numCache>
                <c:formatCode>General</c:formatCode>
                <c:ptCount val="6"/>
                <c:pt idx="0">
                  <c:v>124</c:v>
                </c:pt>
                <c:pt idx="1">
                  <c:v>158</c:v>
                </c:pt>
                <c:pt idx="2">
                  <c:v>135</c:v>
                </c:pt>
                <c:pt idx="3">
                  <c:v>121</c:v>
                </c:pt>
                <c:pt idx="4">
                  <c:v>160</c:v>
                </c:pt>
                <c:pt idx="5">
                  <c:v>183</c:v>
                </c:pt>
              </c:numCache>
            </c:numRef>
          </c:val>
          <c:extLst>
            <c:ext xmlns:c16="http://schemas.microsoft.com/office/drawing/2014/chart" uri="{C3380CC4-5D6E-409C-BE32-E72D297353CC}">
              <c16:uniqueId val="{00000001-9DF7-41E7-A9D2-8C298FB80150}"/>
            </c:ext>
          </c:extLst>
        </c:ser>
        <c:dLbls>
          <c:dLblPos val="outEnd"/>
          <c:showLegendKey val="0"/>
          <c:showVal val="1"/>
          <c:showCatName val="0"/>
          <c:showSerName val="0"/>
          <c:showPercent val="0"/>
          <c:showBubbleSize val="0"/>
        </c:dLbls>
        <c:gapWidth val="219"/>
        <c:overlap val="-27"/>
        <c:axId val="1380703152"/>
        <c:axId val="1380709392"/>
      </c:barChart>
      <c:catAx>
        <c:axId val="138070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709392"/>
        <c:crosses val="autoZero"/>
        <c:auto val="1"/>
        <c:lblAlgn val="ctr"/>
        <c:lblOffset val="100"/>
        <c:noMultiLvlLbl val="0"/>
      </c:catAx>
      <c:valAx>
        <c:axId val="138070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70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[Svcet Students Dashboard.xlsx]Sum of Count by Most Failed Sub!PivotTable4</c:name>
    <c:fmtId val="4"/>
  </c:pivotSource>
  <c:chart>
    <c:title>
      <c:tx>
        <c:rich>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r>
              <a:rPr lang="en-US"/>
              <a:t>Sum of Count by Most Failed Sub </a:t>
            </a:r>
          </a:p>
        </c:rich>
      </c:tx>
      <c:layout>
        <c:manualLayout>
          <c:xMode val="edge"/>
          <c:yMode val="edge"/>
          <c:x val="6.3194444444444442E-2"/>
          <c:y val="4.1666666666666664E-2"/>
        </c:manualLayout>
      </c:layou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 of Count by Most Failed Sub'!$B$3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Count by Most Failed Sub'!$A$4:$A$10</c:f>
              <c:strCache>
                <c:ptCount val="6"/>
                <c:pt idx="0">
                  <c:v>DBMS</c:v>
                </c:pt>
                <c:pt idx="1">
                  <c:v>Deep Learning</c:v>
                </c:pt>
                <c:pt idx="2">
                  <c:v>M1</c:v>
                </c:pt>
                <c:pt idx="3">
                  <c:v>Machine Learning</c:v>
                </c:pt>
                <c:pt idx="4">
                  <c:v>Passed</c:v>
                </c:pt>
              </c:strCache>
            </c:strRef>
          </c:cat>
          <c:val>
            <c:numRef>
              <c:f>'Sum of Count by Most Failed Sub'!$B$4:$B$10</c:f>
              <c:numCache>
                <c:formatCode>General</c:formatCode>
                <c:ptCount val="6"/>
                <c:pt idx="0">
                  <c:v>35</c:v>
                </c:pt>
                <c:pt idx="1">
                  <c:v>30</c:v>
                </c:pt>
                <c:pt idx="2">
                  <c:v>29</c:v>
                </c:pt>
                <c:pt idx="3">
                  <c:v>25</c:v>
                </c:pt>
                <c:pt idx="4">
                  <c:v>881</c:v>
                </c:pt>
              </c:numCache>
            </c:numRef>
          </c:val>
          <c:extLst>
            <c:ext xmlns:c16="http://schemas.microsoft.com/office/drawing/2014/chart" uri="{C3380CC4-5D6E-409C-BE32-E72D297353CC}">
              <c16:uniqueId val="{00000000-914E-41A8-842F-53DF58FBB2BD}"/>
            </c:ext>
          </c:extLst>
        </c:ser>
        <c:dLbls>
          <c:dLblPos val="outEnd"/>
          <c:showLegendKey val="0"/>
          <c:showVal val="1"/>
          <c:showCatName val="0"/>
          <c:showSerName val="0"/>
          <c:showPercent val="0"/>
          <c:showBubbleSize val="0"/>
        </c:dLbls>
        <c:gapWidth val="115"/>
        <c:overlap val="-20"/>
        <c:axId val="1012110367"/>
        <c:axId val="1012112767"/>
      </c:barChart>
      <c:catAx>
        <c:axId val="101211036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012112767"/>
        <c:crosses val="autoZero"/>
        <c:auto val="1"/>
        <c:lblAlgn val="ctr"/>
        <c:lblOffset val="100"/>
        <c:noMultiLvlLbl val="0"/>
      </c:catAx>
      <c:valAx>
        <c:axId val="1012112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01211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[Svcet Students Dashboard.xlsx]Pass&amp;Fail percentage  by colleg!PivotTable1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Pass&amp;Fail percentage  by college</a:t>
            </a:r>
          </a:p>
        </c:rich>
      </c:tx>
      <c:layout>
        <c:manualLayout>
          <c:xMode val="edge"/>
          <c:yMode val="edge"/>
          <c:x val="2.9402668416447932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olidFill>
          <a:ln w="19050">
            <a:solidFill>
              <a:srgbClr val="33CC33"/>
            </a:solidFill>
          </a:ln>
          <a:effectLst/>
        </c:spPr>
        <c:dLbl>
          <c:idx val="0"/>
          <c:layout>
            <c:manualLayout>
              <c:x val="0"/>
              <c:y val="-0.100589785924486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4.9306505935222122E-2"/>
              <c:y val="7.31562079450808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s>
    <c:plotArea>
      <c:layout/>
      <c:doughnutChart>
        <c:varyColors val="1"/>
        <c:ser>
          <c:idx val="0"/>
          <c:order val="0"/>
          <c:tx>
            <c:strRef>
              <c:f>'Pass&amp;Fail percentage  by colleg'!$B$3</c:f>
              <c:strCache>
                <c:ptCount val="1"/>
                <c:pt idx="0">
                  <c:v>Total</c:v>
                </c:pt>
              </c:strCache>
            </c:strRef>
          </c:tx>
          <c:dPt>
            <c:idx val="0"/>
            <c:bubble3D val="0"/>
            <c:spPr>
              <a:solidFill>
                <a:schemeClr val="accent2"/>
              </a:solidFill>
              <a:ln w="19050">
                <a:solidFill>
                  <a:srgbClr val="33CC33"/>
                </a:solidFill>
              </a:ln>
              <a:effectLst/>
            </c:spPr>
            <c:extLst>
              <c:ext xmlns:c16="http://schemas.microsoft.com/office/drawing/2014/chart" uri="{C3380CC4-5D6E-409C-BE32-E72D297353CC}">
                <c16:uniqueId val="{00000001-C222-457A-A63B-D9BF00B690C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222-457A-A63B-D9BF00B690C4}"/>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C222-457A-A63B-D9BF00B690C4}"/>
              </c:ext>
            </c:extLst>
          </c:dPt>
          <c:dLbls>
            <c:dLbl>
              <c:idx val="0"/>
              <c:layout>
                <c:manualLayout>
                  <c:x val="0"/>
                  <c:y val="-0.1005897859244863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222-457A-A63B-D9BF00B690C4}"/>
                </c:ext>
              </c:extLst>
            </c:dLbl>
            <c:dLbl>
              <c:idx val="1"/>
              <c:layout>
                <c:manualLayout>
                  <c:x val="-4.9306505935222122E-2"/>
                  <c:y val="7.31562079450808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222-457A-A63B-D9BF00B690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'Pass&amp;Fail percentage  by colleg'!$A$4:$A$7</c:f>
              <c:strCache>
                <c:ptCount val="3"/>
                <c:pt idx="0">
                  <c:v>Fail</c:v>
                </c:pt>
                <c:pt idx="1">
                  <c:v>Pass</c:v>
                </c:pt>
                <c:pt idx="2">
                  <c:v>(blank)</c:v>
                </c:pt>
              </c:strCache>
            </c:strRef>
          </c:cat>
          <c:val>
            <c:numRef>
              <c:f>'Pass&amp;Fail percentage  by colleg'!$B$4:$B$7</c:f>
              <c:numCache>
                <c:formatCode>General</c:formatCode>
                <c:ptCount val="3"/>
                <c:pt idx="0">
                  <c:v>119</c:v>
                </c:pt>
                <c:pt idx="1">
                  <c:v>881</c:v>
                </c:pt>
              </c:numCache>
            </c:numRef>
          </c:val>
          <c:extLst>
            <c:ext xmlns:c16="http://schemas.microsoft.com/office/drawing/2014/chart" uri="{C3380CC4-5D6E-409C-BE32-E72D297353CC}">
              <c16:uniqueId val="{00000006-C222-457A-A63B-D9BF00B690C4}"/>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[Svcet Students Dashboard.xlsx]Passed by Year!PivotTable22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Passed by Year</a:t>
            </a:r>
          </a:p>
        </c:rich>
      </c:tx>
      <c:layout>
        <c:manualLayout>
          <c:xMode val="edge"/>
          <c:yMode val="edge"/>
          <c:x val="2.1750000000000037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60000"/>
                <a:lumOff val="40000"/>
              </a:schemeClr>
            </a:solidFill>
            <a:round/>
          </a:ln>
          <a:effectLst/>
        </c:spPr>
        <c:marker>
          <c:symbol val="circle"/>
          <c:size val="5"/>
          <c:spPr>
            <a:solidFill>
              <a:srgbClr val="00B050"/>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lumMod val="60000"/>
                <a:lumOff val="40000"/>
              </a:schemeClr>
            </a:solidFill>
            <a:round/>
          </a:ln>
          <a:effectLst/>
        </c:spPr>
        <c:marker>
          <c:symbol val="circle"/>
          <c:size val="5"/>
          <c:spPr>
            <a:solidFill>
              <a:srgbClr val="00B050"/>
            </a:solidFill>
            <a:ln w="9525">
              <a:solidFill>
                <a:schemeClr val="accent1">
                  <a:lumMod val="60000"/>
                  <a:lumOff val="40000"/>
                </a:schemeClr>
              </a:solidFill>
            </a:ln>
            <a:effectLst/>
          </c:spPr>
        </c:marker>
      </c:pivotFmt>
      <c:pivotFmt>
        <c:idx val="3"/>
        <c:spPr>
          <a:solidFill>
            <a:schemeClr val="accent1"/>
          </a:solidFill>
          <a:ln w="28575" cap="rnd">
            <a:solidFill>
              <a:schemeClr val="accent1">
                <a:lumMod val="60000"/>
                <a:lumOff val="40000"/>
              </a:schemeClr>
            </a:solidFill>
            <a:round/>
          </a:ln>
          <a:effectLst/>
        </c:spPr>
        <c:marker>
          <c:symbol val="circle"/>
          <c:size val="5"/>
          <c:spPr>
            <a:solidFill>
              <a:srgbClr val="00B050"/>
            </a:solidFill>
            <a:ln w="9525">
              <a:solidFill>
                <a:schemeClr val="accent1">
                  <a:lumMod val="60000"/>
                  <a:lumOff val="40000"/>
                </a:schemeClr>
              </a:solidFill>
            </a:ln>
            <a:effectLst/>
          </c:spPr>
        </c:marker>
      </c:pivotFmt>
      <c:pivotFmt>
        <c:idx val="4"/>
        <c:spPr>
          <a:solidFill>
            <a:schemeClr val="accent1"/>
          </a:solidFill>
          <a:ln w="28575" cap="rnd">
            <a:solidFill>
              <a:schemeClr val="accent1">
                <a:lumMod val="60000"/>
                <a:lumOff val="40000"/>
              </a:schemeClr>
            </a:solidFill>
            <a:round/>
          </a:ln>
          <a:effectLst/>
        </c:spPr>
        <c:marker>
          <c:symbol val="circle"/>
          <c:size val="5"/>
          <c:spPr>
            <a:solidFill>
              <a:srgbClr val="00B050"/>
            </a:solidFill>
            <a:ln w="9525">
              <a:solidFill>
                <a:schemeClr val="accent1">
                  <a:lumMod val="60000"/>
                  <a:lumOff val="40000"/>
                </a:schemeClr>
              </a:solidFill>
            </a:ln>
            <a:effectLst/>
          </c:spPr>
        </c:marker>
      </c:pivotFmt>
      <c:pivotFmt>
        <c:idx val="5"/>
        <c:spPr>
          <a:solidFill>
            <a:schemeClr val="accent1"/>
          </a:solidFill>
          <a:ln w="28575" cap="rnd">
            <a:solidFill>
              <a:schemeClr val="accent1">
                <a:lumMod val="60000"/>
                <a:lumOff val="40000"/>
              </a:schemeClr>
            </a:solidFill>
            <a:round/>
          </a:ln>
          <a:effectLst/>
        </c:spPr>
        <c:marker>
          <c:symbol val="circle"/>
          <c:size val="5"/>
          <c:spPr>
            <a:solidFill>
              <a:srgbClr val="00B050"/>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lumMod val="60000"/>
                <a:lumOff val="40000"/>
              </a:schemeClr>
            </a:solidFill>
            <a:round/>
          </a:ln>
          <a:effectLst/>
        </c:spPr>
        <c:marker>
          <c:symbol val="circle"/>
          <c:size val="5"/>
          <c:spPr>
            <a:solidFill>
              <a:srgbClr val="00B050"/>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'Passed by Year'!$B$3:$B$4</c:f>
              <c:strCache>
                <c:ptCount val="1"/>
                <c:pt idx="0">
                  <c:v>Pass</c:v>
                </c:pt>
              </c:strCache>
            </c:strRef>
          </c:tx>
          <c:spPr>
            <a:ln w="28575" cap="rnd">
              <a:solidFill>
                <a:schemeClr val="accent1">
                  <a:lumMod val="60000"/>
                  <a:lumOff val="40000"/>
                </a:schemeClr>
              </a:solidFill>
              <a:round/>
            </a:ln>
            <a:effectLst/>
          </c:spPr>
          <c:marker>
            <c:symbol val="circle"/>
            <c:size val="5"/>
            <c:spPr>
              <a:solidFill>
                <a:srgbClr val="00B050"/>
              </a:solidFill>
              <a:ln w="9525">
                <a:solidFill>
                  <a:schemeClr val="accent1">
                    <a:lumMod val="60000"/>
                    <a:lumOff val="40000"/>
                  </a:schemeClr>
                </a:solidFill>
              </a:ln>
              <a:effectLst/>
            </c:spPr>
          </c:marker>
          <c:cat>
            <c:strRef>
              <c:f>'Passed by Year'!$A$5:$A$9</c:f>
              <c:strCache>
                <c:ptCount val="4"/>
                <c:pt idx="0">
                  <c:v>1st Year</c:v>
                </c:pt>
                <c:pt idx="1">
                  <c:v>2nd Year</c:v>
                </c:pt>
                <c:pt idx="2">
                  <c:v>3rd Year</c:v>
                </c:pt>
                <c:pt idx="3">
                  <c:v>4th Year</c:v>
                </c:pt>
              </c:strCache>
            </c:strRef>
          </c:cat>
          <c:val>
            <c:numRef>
              <c:f>'Passed by Year'!$B$5:$B$9</c:f>
              <c:numCache>
                <c:formatCode>General</c:formatCode>
                <c:ptCount val="4"/>
                <c:pt idx="0">
                  <c:v>194</c:v>
                </c:pt>
                <c:pt idx="1">
                  <c:v>222</c:v>
                </c:pt>
                <c:pt idx="2">
                  <c:v>224</c:v>
                </c:pt>
                <c:pt idx="3">
                  <c:v>241</c:v>
                </c:pt>
              </c:numCache>
            </c:numRef>
          </c:val>
          <c:smooth val="1"/>
          <c:extLst>
            <c:ext xmlns:c16="http://schemas.microsoft.com/office/drawing/2014/chart" uri="{C3380CC4-5D6E-409C-BE32-E72D297353CC}">
              <c16:uniqueId val="{00000000-BAAF-4765-BB4D-3B7549D39F98}"/>
            </c:ext>
          </c:extLst>
        </c:ser>
        <c:dLbls>
          <c:showLegendKey val="0"/>
          <c:showVal val="0"/>
          <c:showCatName val="0"/>
          <c:showSerName val="0"/>
          <c:showPercent val="0"/>
          <c:showBubbleSize val="0"/>
        </c:dLbls>
        <c:marker val="1"/>
        <c:smooth val="0"/>
        <c:axId val="1420715504"/>
        <c:axId val="1420715984"/>
      </c:lineChart>
      <c:catAx>
        <c:axId val="142071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715984"/>
        <c:crosses val="autoZero"/>
        <c:auto val="1"/>
        <c:lblAlgn val="ctr"/>
        <c:lblOffset val="100"/>
        <c:noMultiLvlLbl val="0"/>
      </c:catAx>
      <c:valAx>
        <c:axId val="142071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71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[Svcet Students Dashboard.xlsx]Sum of Condonation by Branch!PivotTable17</c:name>
    <c:fmtId val="3"/>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IN"/>
              <a:t>Sum</a:t>
            </a:r>
            <a:r>
              <a:rPr lang="en-IN" baseline="0"/>
              <a:t> of </a:t>
            </a:r>
            <a:r>
              <a:rPr lang="en-IN"/>
              <a:t>Condonation by Branch</a:t>
            </a:r>
            <a:r>
              <a:rPr lang="en-IN" baseline="0"/>
              <a:t> </a:t>
            </a:r>
            <a:endParaRPr lang="en-IN"/>
          </a:p>
        </c:rich>
      </c:tx>
      <c:layout>
        <c:manualLayout>
          <c:xMode val="edge"/>
          <c:yMode val="edge"/>
          <c:x val="1.979855643044621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IN"/>
        </a:p>
      </c:txPr>
    </c:title>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358705161854765E-2"/>
          <c:y val="0.18097222222222226"/>
          <c:w val="0.7547799650043745"/>
          <c:h val="0.72125801983085447"/>
        </c:manualLayout>
      </c:layout>
      <c:barChart>
        <c:barDir val="col"/>
        <c:grouping val="clustered"/>
        <c:varyColors val="0"/>
        <c:ser>
          <c:idx val="0"/>
          <c:order val="0"/>
          <c:tx>
            <c:strRef>
              <c:f>'Sum of Condonation by Branch'!$B$3:$B$4</c:f>
              <c:strCache>
                <c:ptCount val="1"/>
                <c:pt idx="0">
                  <c:v>No</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Condonation by Branch'!$A$5:$A$12</c:f>
              <c:strCache>
                <c:ptCount val="7"/>
                <c:pt idx="0">
                  <c:v>CIVIL</c:v>
                </c:pt>
                <c:pt idx="1">
                  <c:v>CSE</c:v>
                </c:pt>
                <c:pt idx="2">
                  <c:v>ECE</c:v>
                </c:pt>
                <c:pt idx="3">
                  <c:v>EEE</c:v>
                </c:pt>
                <c:pt idx="4">
                  <c:v>IT</c:v>
                </c:pt>
                <c:pt idx="5">
                  <c:v>MECH</c:v>
                </c:pt>
                <c:pt idx="6">
                  <c:v>(blank)</c:v>
                </c:pt>
              </c:strCache>
            </c:strRef>
          </c:cat>
          <c:val>
            <c:numRef>
              <c:f>'Sum of Condonation by Branch'!$B$5:$B$12</c:f>
              <c:numCache>
                <c:formatCode>General</c:formatCode>
                <c:ptCount val="7"/>
                <c:pt idx="0">
                  <c:v>116</c:v>
                </c:pt>
                <c:pt idx="1">
                  <c:v>131</c:v>
                </c:pt>
                <c:pt idx="2">
                  <c:v>124</c:v>
                </c:pt>
                <c:pt idx="3">
                  <c:v>98</c:v>
                </c:pt>
                <c:pt idx="4">
                  <c:v>137</c:v>
                </c:pt>
                <c:pt idx="5">
                  <c:v>151</c:v>
                </c:pt>
              </c:numCache>
            </c:numRef>
          </c:val>
          <c:extLst>
            <c:ext xmlns:c16="http://schemas.microsoft.com/office/drawing/2014/chart" uri="{C3380CC4-5D6E-409C-BE32-E72D297353CC}">
              <c16:uniqueId val="{00000000-993B-4CB4-A677-5AEB3C06F498}"/>
            </c:ext>
          </c:extLst>
        </c:ser>
        <c:ser>
          <c:idx val="1"/>
          <c:order val="1"/>
          <c:tx>
            <c:strRef>
              <c:f>'Sum of Condonation by Branch'!$C$3:$C$4</c:f>
              <c:strCache>
                <c:ptCount val="1"/>
                <c:pt idx="0">
                  <c:v>Yes</c:v>
                </c:pt>
              </c:strCache>
            </c:strRef>
          </c:tx>
          <c:spPr>
            <a:solidFill>
              <a:schemeClr val="accent2"/>
            </a:solidFill>
            <a:ln>
              <a:solidFill>
                <a:schemeClr val="accent1">
                  <a:lumMod val="60000"/>
                  <a:lumOff val="40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Condonation by Branch'!$A$5:$A$12</c:f>
              <c:strCache>
                <c:ptCount val="7"/>
                <c:pt idx="0">
                  <c:v>CIVIL</c:v>
                </c:pt>
                <c:pt idx="1">
                  <c:v>CSE</c:v>
                </c:pt>
                <c:pt idx="2">
                  <c:v>ECE</c:v>
                </c:pt>
                <c:pt idx="3">
                  <c:v>EEE</c:v>
                </c:pt>
                <c:pt idx="4">
                  <c:v>IT</c:v>
                </c:pt>
                <c:pt idx="5">
                  <c:v>MECH</c:v>
                </c:pt>
                <c:pt idx="6">
                  <c:v>(blank)</c:v>
                </c:pt>
              </c:strCache>
            </c:strRef>
          </c:cat>
          <c:val>
            <c:numRef>
              <c:f>'Sum of Condonation by Branch'!$C$5:$C$12</c:f>
              <c:numCache>
                <c:formatCode>General</c:formatCode>
                <c:ptCount val="7"/>
                <c:pt idx="0">
                  <c:v>29</c:v>
                </c:pt>
                <c:pt idx="1">
                  <c:v>49</c:v>
                </c:pt>
                <c:pt idx="2">
                  <c:v>34</c:v>
                </c:pt>
                <c:pt idx="3">
                  <c:v>34</c:v>
                </c:pt>
                <c:pt idx="4">
                  <c:v>46</c:v>
                </c:pt>
                <c:pt idx="5">
                  <c:v>51</c:v>
                </c:pt>
              </c:numCache>
            </c:numRef>
          </c:val>
          <c:extLst>
            <c:ext xmlns:c16="http://schemas.microsoft.com/office/drawing/2014/chart" uri="{C3380CC4-5D6E-409C-BE32-E72D297353CC}">
              <c16:uniqueId val="{00000003-59D8-4324-86A9-002C7A3C2DE8}"/>
            </c:ext>
          </c:extLst>
        </c:ser>
        <c:ser>
          <c:idx val="2"/>
          <c:order val="2"/>
          <c:tx>
            <c:strRef>
              <c:f>'Sum of Condonation by Branch'!$D$3:$D$4</c:f>
              <c:strCache>
                <c:ptCount val="1"/>
                <c:pt idx="0">
                  <c:v>(blank)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Condonation by Branch'!$A$5:$A$12</c:f>
              <c:strCache>
                <c:ptCount val="7"/>
                <c:pt idx="0">
                  <c:v>CIVIL</c:v>
                </c:pt>
                <c:pt idx="1">
                  <c:v>CSE</c:v>
                </c:pt>
                <c:pt idx="2">
                  <c:v>ECE</c:v>
                </c:pt>
                <c:pt idx="3">
                  <c:v>EEE</c:v>
                </c:pt>
                <c:pt idx="4">
                  <c:v>IT</c:v>
                </c:pt>
                <c:pt idx="5">
                  <c:v>MECH</c:v>
                </c:pt>
                <c:pt idx="6">
                  <c:v>(blank)</c:v>
                </c:pt>
              </c:strCache>
            </c:strRef>
          </c:cat>
          <c:val>
            <c:numRef>
              <c:f>'Sum of Condonation by Branch'!$D$5:$D$12</c:f>
              <c:numCache>
                <c:formatCode>General</c:formatCode>
                <c:ptCount val="7"/>
              </c:numCache>
            </c:numRef>
          </c:val>
          <c:extLst>
            <c:ext xmlns:c16="http://schemas.microsoft.com/office/drawing/2014/chart" uri="{C3380CC4-5D6E-409C-BE32-E72D297353CC}">
              <c16:uniqueId val="{00000004-59D8-4324-86A9-002C7A3C2DE8}"/>
            </c:ext>
          </c:extLst>
        </c:ser>
        <c:dLbls>
          <c:showLegendKey val="0"/>
          <c:showVal val="1"/>
          <c:showCatName val="0"/>
          <c:showSerName val="0"/>
          <c:showPercent val="0"/>
          <c:showBubbleSize val="0"/>
        </c:dLbls>
        <c:gapWidth val="219"/>
        <c:axId val="1462700944"/>
        <c:axId val="1462692784"/>
      </c:barChart>
      <c:catAx>
        <c:axId val="146270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462692784"/>
        <c:crosses val="autoZero"/>
        <c:auto val="1"/>
        <c:lblAlgn val="ctr"/>
        <c:lblOffset val="100"/>
        <c:noMultiLvlLbl val="0"/>
      </c:catAx>
      <c:valAx>
        <c:axId val="1462692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46270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[Svcet Students Dashboard.xlsx]Total Count by Location!PivotTable5</c:name>
    <c:fmtId val="6"/>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Total Count by Location</a:t>
            </a:r>
          </a:p>
        </c:rich>
      </c:tx>
      <c:layout>
        <c:manualLayout>
          <c:xMode val="edge"/>
          <c:yMode val="edge"/>
          <c:x val="4.1414192491993546E-2"/>
          <c:y val="3.2407407407407406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Count by Location'!$B$3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Count by Location'!$A$4:$A$14</c:f>
              <c:strCache>
                <c:ptCount val="10"/>
                <c:pt idx="0">
                  <c:v>(blank)</c:v>
                </c:pt>
                <c:pt idx="1">
                  <c:v>Tirupati</c:v>
                </c:pt>
                <c:pt idx="2">
                  <c:v>Rayachoti</c:v>
                </c:pt>
                <c:pt idx="3">
                  <c:v>Rajampeta</c:v>
                </c:pt>
                <c:pt idx="4">
                  <c:v>Nellore</c:v>
                </c:pt>
                <c:pt idx="5">
                  <c:v>Madanapalli</c:v>
                </c:pt>
                <c:pt idx="6">
                  <c:v>Kadapa</c:v>
                </c:pt>
                <c:pt idx="7">
                  <c:v>Ananthapur</c:v>
                </c:pt>
                <c:pt idx="8">
                  <c:v>Chittoor</c:v>
                </c:pt>
                <c:pt idx="9">
                  <c:v>Chittoor,"Madanapalli","Rajampeta","Tirupati")</c:v>
                </c:pt>
              </c:strCache>
            </c:strRef>
          </c:cat>
          <c:val>
            <c:numRef>
              <c:f>'Total Count by Location'!$B$4:$B$14</c:f>
              <c:numCache>
                <c:formatCode>General</c:formatCode>
                <c:ptCount val="10"/>
                <c:pt idx="0">
                  <c:v>756</c:v>
                </c:pt>
                <c:pt idx="1">
                  <c:v>32</c:v>
                </c:pt>
                <c:pt idx="2">
                  <c:v>30</c:v>
                </c:pt>
                <c:pt idx="3">
                  <c:v>28</c:v>
                </c:pt>
                <c:pt idx="4">
                  <c:v>29</c:v>
                </c:pt>
                <c:pt idx="5">
                  <c:v>26</c:v>
                </c:pt>
                <c:pt idx="6">
                  <c:v>34</c:v>
                </c:pt>
                <c:pt idx="7">
                  <c:v>31</c:v>
                </c:pt>
                <c:pt idx="8">
                  <c:v>33</c:v>
                </c:pt>
                <c:pt idx="9">
                  <c:v>1</c:v>
                </c:pt>
              </c:numCache>
            </c:numRef>
          </c:val>
          <c:extLst>
            <c:ext xmlns:c16="http://schemas.microsoft.com/office/drawing/2014/chart" uri="{C3380CC4-5D6E-409C-BE32-E72D297353CC}">
              <c16:uniqueId val="{00000000-8C01-49FA-85E3-52C466AA2FA8}"/>
            </c:ext>
          </c:extLst>
        </c:ser>
        <c:dLbls>
          <c:dLblPos val="outEnd"/>
          <c:showLegendKey val="0"/>
          <c:showVal val="1"/>
          <c:showCatName val="0"/>
          <c:showSerName val="0"/>
          <c:showPercent val="0"/>
          <c:showBubbleSize val="0"/>
        </c:dLbls>
        <c:gapWidth val="182"/>
        <c:axId val="517022351"/>
        <c:axId val="517022831"/>
      </c:barChart>
      <c:catAx>
        <c:axId val="517022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17022831"/>
        <c:crosses val="autoZero"/>
        <c:auto val="1"/>
        <c:lblAlgn val="ctr"/>
        <c:lblOffset val="100"/>
        <c:noMultiLvlLbl val="0"/>
      </c:catAx>
      <c:valAx>
        <c:axId val="517022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1702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[Svcet Students Dashboard.xlsx]Total Count by Location!PivotTable5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Count by Location</a:t>
            </a:r>
            <a:endParaRPr lang="en-US"/>
          </a:p>
        </c:rich>
      </c:tx>
      <c:layout>
        <c:manualLayout>
          <c:xMode val="edge"/>
          <c:yMode val="edge"/>
          <c:x val="4.1414192491993546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Count by Location'!$B$3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Count by Location'!$A$4:$A$14</c:f>
              <c:strCache>
                <c:ptCount val="10"/>
                <c:pt idx="0">
                  <c:v>(blank)</c:v>
                </c:pt>
                <c:pt idx="1">
                  <c:v>Tirupati</c:v>
                </c:pt>
                <c:pt idx="2">
                  <c:v>Rayachoti</c:v>
                </c:pt>
                <c:pt idx="3">
                  <c:v>Rajampeta</c:v>
                </c:pt>
                <c:pt idx="4">
                  <c:v>Nellore</c:v>
                </c:pt>
                <c:pt idx="5">
                  <c:v>Madanapalli</c:v>
                </c:pt>
                <c:pt idx="6">
                  <c:v>Kadapa</c:v>
                </c:pt>
                <c:pt idx="7">
                  <c:v>Ananthapur</c:v>
                </c:pt>
                <c:pt idx="8">
                  <c:v>Chittoor</c:v>
                </c:pt>
                <c:pt idx="9">
                  <c:v>Chittoor,"Madanapalli","Rajampeta","Tirupati")</c:v>
                </c:pt>
              </c:strCache>
            </c:strRef>
          </c:cat>
          <c:val>
            <c:numRef>
              <c:f>'Total Count by Location'!$B$4:$B$14</c:f>
              <c:numCache>
                <c:formatCode>General</c:formatCode>
                <c:ptCount val="10"/>
                <c:pt idx="0">
                  <c:v>756</c:v>
                </c:pt>
                <c:pt idx="1">
                  <c:v>32</c:v>
                </c:pt>
                <c:pt idx="2">
                  <c:v>30</c:v>
                </c:pt>
                <c:pt idx="3">
                  <c:v>28</c:v>
                </c:pt>
                <c:pt idx="4">
                  <c:v>29</c:v>
                </c:pt>
                <c:pt idx="5">
                  <c:v>26</c:v>
                </c:pt>
                <c:pt idx="6">
                  <c:v>34</c:v>
                </c:pt>
                <c:pt idx="7">
                  <c:v>31</c:v>
                </c:pt>
                <c:pt idx="8">
                  <c:v>33</c:v>
                </c:pt>
                <c:pt idx="9">
                  <c:v>1</c:v>
                </c:pt>
              </c:numCache>
            </c:numRef>
          </c:val>
          <c:extLst>
            <c:ext xmlns:c16="http://schemas.microsoft.com/office/drawing/2014/chart" uri="{C3380CC4-5D6E-409C-BE32-E72D297353CC}">
              <c16:uniqueId val="{00000000-5A57-4BA7-95DC-73B03DF640B5}"/>
            </c:ext>
          </c:extLst>
        </c:ser>
        <c:dLbls>
          <c:dLblPos val="outEnd"/>
          <c:showLegendKey val="0"/>
          <c:showVal val="1"/>
          <c:showCatName val="0"/>
          <c:showSerName val="0"/>
          <c:showPercent val="0"/>
          <c:showBubbleSize val="0"/>
        </c:dLbls>
        <c:gapWidth val="182"/>
        <c:axId val="517022351"/>
        <c:axId val="517022831"/>
      </c:barChart>
      <c:catAx>
        <c:axId val="517022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022831"/>
        <c:crosses val="autoZero"/>
        <c:auto val="1"/>
        <c:lblAlgn val="ctr"/>
        <c:lblOffset val="100"/>
        <c:noMultiLvlLbl val="0"/>
      </c:catAx>
      <c:valAx>
        <c:axId val="517022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02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image" Target="../media/image2.svg"/></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6</xdr:col>
      <xdr:colOff>495300</xdr:colOff>
      <xdr:row>2</xdr:row>
      <xdr:rowOff>44450</xdr:rowOff>
    </xdr:from>
    <xdr:to>
      <xdr:col>14</xdr:col>
      <xdr:colOff>190500</xdr:colOff>
      <xdr:row>17</xdr:row>
      <xdr:rowOff>25400</xdr:rowOff>
    </xdr:to>
    <xdr:graphicFrame macro="">
      <xdr:nvGraphicFramePr>
        <xdr:cNvPr id="2" name="Chart 1">
          <a:extLst>
            <a:ext uri="{FF2B5EF4-FFF2-40B4-BE49-F238E27FC236}">
              <a16:creationId xmlns:a16="http://schemas.microsoft.com/office/drawing/2014/main" id="{80D1EE04-CBB7-15D2-E70D-698621C0C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381000</xdr:colOff>
      <xdr:row>3</xdr:row>
      <xdr:rowOff>130175</xdr:rowOff>
    </xdr:from>
    <xdr:to>
      <xdr:col>11</xdr:col>
      <xdr:colOff>76200</xdr:colOff>
      <xdr:row>18</xdr:row>
      <xdr:rowOff>111125</xdr:rowOff>
    </xdr:to>
    <xdr:graphicFrame macro="">
      <xdr:nvGraphicFramePr>
        <xdr:cNvPr id="3" name="Chart 2">
          <a:extLst>
            <a:ext uri="{FF2B5EF4-FFF2-40B4-BE49-F238E27FC236}">
              <a16:creationId xmlns:a16="http://schemas.microsoft.com/office/drawing/2014/main" id="{98323B74-033A-0C7B-4382-D7322E1CCA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546100</xdr:colOff>
      <xdr:row>3</xdr:row>
      <xdr:rowOff>41275</xdr:rowOff>
    </xdr:from>
    <xdr:to>
      <xdr:col>5</xdr:col>
      <xdr:colOff>1428750</xdr:colOff>
      <xdr:row>18</xdr:row>
      <xdr:rowOff>22225</xdr:rowOff>
    </xdr:to>
    <xdr:graphicFrame macro="">
      <xdr:nvGraphicFramePr>
        <xdr:cNvPr id="2" name="Chart 1">
          <a:extLst>
            <a:ext uri="{FF2B5EF4-FFF2-40B4-BE49-F238E27FC236}">
              <a16:creationId xmlns:a16="http://schemas.microsoft.com/office/drawing/2014/main" id="{5884D9DE-8B1C-1938-5588-051FE5563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222250</xdr:colOff>
      <xdr:row>2</xdr:row>
      <xdr:rowOff>15875</xdr:rowOff>
    </xdr:from>
    <xdr:to>
      <xdr:col>10</xdr:col>
      <xdr:colOff>412750</xdr:colOff>
      <xdr:row>16</xdr:row>
      <xdr:rowOff>180975</xdr:rowOff>
    </xdr:to>
    <xdr:graphicFrame macro="">
      <xdr:nvGraphicFramePr>
        <xdr:cNvPr id="2" name="Chart 1">
          <a:extLst>
            <a:ext uri="{FF2B5EF4-FFF2-40B4-BE49-F238E27FC236}">
              <a16:creationId xmlns:a16="http://schemas.microsoft.com/office/drawing/2014/main" id="{F7D14FC0-8EE2-75C7-3012-3DF60021E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114300</xdr:colOff>
      <xdr:row>3</xdr:row>
      <xdr:rowOff>92075</xdr:rowOff>
    </xdr:from>
    <xdr:to>
      <xdr:col>9</xdr:col>
      <xdr:colOff>419100</xdr:colOff>
      <xdr:row>18</xdr:row>
      <xdr:rowOff>73025</xdr:rowOff>
    </xdr:to>
    <xdr:graphicFrame macro="">
      <xdr:nvGraphicFramePr>
        <xdr:cNvPr id="2" name="Chart 1">
          <a:extLst>
            <a:ext uri="{FF2B5EF4-FFF2-40B4-BE49-F238E27FC236}">
              <a16:creationId xmlns:a16="http://schemas.microsoft.com/office/drawing/2014/main" id="{45315591-BCD3-D762-1D91-C1E378B4A0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614796</xdr:colOff>
      <xdr:row>2</xdr:row>
      <xdr:rowOff>36944</xdr:rowOff>
    </xdr:from>
    <xdr:to>
      <xdr:col>8</xdr:col>
      <xdr:colOff>31751</xdr:colOff>
      <xdr:row>17</xdr:row>
      <xdr:rowOff>9235</xdr:rowOff>
    </xdr:to>
    <xdr:graphicFrame macro="">
      <xdr:nvGraphicFramePr>
        <xdr:cNvPr id="2" name="Chart 1">
          <a:extLst>
            <a:ext uri="{FF2B5EF4-FFF2-40B4-BE49-F238E27FC236}">
              <a16:creationId xmlns:a16="http://schemas.microsoft.com/office/drawing/2014/main" id="{2DCB091D-1104-DC07-C178-9A6A7351B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34</xdr:col>
      <xdr:colOff>164224</xdr:colOff>
      <xdr:row>54</xdr:row>
      <xdr:rowOff>10949</xdr:rowOff>
    </xdr:to>
    <xdr:sp macro="" textlink="">
      <xdr:nvSpPr>
        <xdr:cNvPr id="16" name="Rectangle: Rounded Corners 15">
          <a:extLst>
            <a:ext uri="{FF2B5EF4-FFF2-40B4-BE49-F238E27FC236}">
              <a16:creationId xmlns:a16="http://schemas.microsoft.com/office/drawing/2014/main" id="{753052C8-986D-808E-9DEE-57C013526C19}"/>
            </a:ext>
          </a:extLst>
        </xdr:cNvPr>
        <xdr:cNvSpPr/>
      </xdr:nvSpPr>
      <xdr:spPr>
        <a:xfrm>
          <a:off x="0" y="0"/>
          <a:ext cx="21009741" cy="10061466"/>
        </a:xfrm>
        <a:prstGeom prst="roundRect">
          <a:avLst/>
        </a:prstGeom>
      </xdr:spPr>
      <xdr:style>
        <a:lnRef idx="1">
          <a:schemeClr val="dk1"/>
        </a:lnRef>
        <a:fillRef idx="1001">
          <a:schemeClr val="lt2"/>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54741</xdr:colOff>
      <xdr:row>0</xdr:row>
      <xdr:rowOff>21896</xdr:rowOff>
    </xdr:from>
    <xdr:to>
      <xdr:col>33</xdr:col>
      <xdr:colOff>328447</xdr:colOff>
      <xdr:row>10</xdr:row>
      <xdr:rowOff>21896</xdr:rowOff>
    </xdr:to>
    <xdr:sp macro="" textlink="">
      <xdr:nvSpPr>
        <xdr:cNvPr id="2" name="Rectangle: Rounded Corners 1">
          <a:extLst>
            <a:ext uri="{FF2B5EF4-FFF2-40B4-BE49-F238E27FC236}">
              <a16:creationId xmlns:a16="http://schemas.microsoft.com/office/drawing/2014/main" id="{83D267C7-E3D3-AA2F-DD06-CD6858AE3ADB}"/>
            </a:ext>
          </a:extLst>
        </xdr:cNvPr>
        <xdr:cNvSpPr/>
      </xdr:nvSpPr>
      <xdr:spPr>
        <a:xfrm>
          <a:off x="54741" y="21896"/>
          <a:ext cx="20506120" cy="1861207"/>
        </a:xfrm>
        <a:prstGeom prst="round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4000" b="1">
              <a:solidFill>
                <a:schemeClr val="accent4"/>
              </a:solidFill>
              <a:latin typeface="Cascadia Code SemiBold" panose="020B0609020000020004" pitchFamily="49" charset="0"/>
              <a:ea typeface="Cascadia Code SemiBold" panose="020B0609020000020004" pitchFamily="49" charset="0"/>
              <a:cs typeface="Cascadia Code SemiBold" panose="020B0609020000020004" pitchFamily="49" charset="0"/>
            </a:rPr>
            <a:t>Sri</a:t>
          </a:r>
          <a:r>
            <a:rPr lang="en-IN" sz="4000" b="1" baseline="0">
              <a:solidFill>
                <a:schemeClr val="accent4"/>
              </a:solidFill>
              <a:latin typeface="Cascadia Code SemiBold" panose="020B0609020000020004" pitchFamily="49" charset="0"/>
              <a:ea typeface="Cascadia Code SemiBold" panose="020B0609020000020004" pitchFamily="49" charset="0"/>
              <a:cs typeface="Cascadia Code SemiBold" panose="020B0609020000020004" pitchFamily="49" charset="0"/>
            </a:rPr>
            <a:t> Venkateswara College Of Engineering &amp; Technology</a:t>
          </a:r>
          <a:endParaRPr lang="en-IN" sz="4000" b="1">
            <a:solidFill>
              <a:schemeClr val="accent4"/>
            </a:solidFill>
            <a:latin typeface="Cascadia Code SemiBold" panose="020B0609020000020004" pitchFamily="49" charset="0"/>
            <a:ea typeface="Cascadia Code SemiBold" panose="020B0609020000020004" pitchFamily="49" charset="0"/>
            <a:cs typeface="Cascadia Code SemiBold" panose="020B0609020000020004" pitchFamily="49" charset="0"/>
          </a:endParaRPr>
        </a:p>
      </xdr:txBody>
    </xdr:sp>
    <xdr:clientData/>
  </xdr:twoCellAnchor>
  <xdr:twoCellAnchor editAs="oneCell">
    <xdr:from>
      <xdr:col>27</xdr:col>
      <xdr:colOff>580256</xdr:colOff>
      <xdr:row>30</xdr:row>
      <xdr:rowOff>18464</xdr:rowOff>
    </xdr:from>
    <xdr:to>
      <xdr:col>33</xdr:col>
      <xdr:colOff>273707</xdr:colOff>
      <xdr:row>54</xdr:row>
      <xdr:rowOff>54741</xdr:rowOff>
    </xdr:to>
    <mc:AlternateContent xmlns:mc="http://schemas.openxmlformats.org/markup-compatibility/2006" xmlns:a14="http://schemas.microsoft.com/office/drawing/2010/main">
      <mc:Choice Requires="a14">
        <xdr:graphicFrame macro="">
          <xdr:nvGraphicFramePr>
            <xdr:cNvPr id="3" name="Location 1">
              <a:extLst>
                <a:ext uri="{FF2B5EF4-FFF2-40B4-BE49-F238E27FC236}">
                  <a16:creationId xmlns:a16="http://schemas.microsoft.com/office/drawing/2014/main" id="{8710F6A2-D10E-4CD6-80AE-B9DCE706112E}"/>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7134049" y="5602085"/>
              <a:ext cx="3372072" cy="45031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257084</xdr:colOff>
      <xdr:row>24</xdr:row>
      <xdr:rowOff>178095</xdr:rowOff>
    </xdr:from>
    <xdr:to>
      <xdr:col>27</xdr:col>
      <xdr:colOff>448881</xdr:colOff>
      <xdr:row>29</xdr:row>
      <xdr:rowOff>115684</xdr:rowOff>
    </xdr:to>
    <mc:AlternateContent xmlns:mc="http://schemas.openxmlformats.org/markup-compatibility/2006" xmlns:a14="http://schemas.microsoft.com/office/drawing/2010/main">
      <mc:Choice Requires="a14">
        <xdr:graphicFrame macro="">
          <xdr:nvGraphicFramePr>
            <xdr:cNvPr id="4" name="Detention_Status 1">
              <a:extLst>
                <a:ext uri="{FF2B5EF4-FFF2-40B4-BE49-F238E27FC236}">
                  <a16:creationId xmlns:a16="http://schemas.microsoft.com/office/drawing/2014/main" id="{2B8EE634-EC32-47CC-AE93-87265623CB5A}"/>
                </a:ext>
              </a:extLst>
            </xdr:cNvPr>
            <xdr:cNvGraphicFramePr/>
          </xdr:nvGraphicFramePr>
          <xdr:xfrm>
            <a:off x="0" y="0"/>
            <a:ext cx="0" cy="0"/>
          </xdr:xfrm>
          <a:graphic>
            <a:graphicData uri="http://schemas.microsoft.com/office/drawing/2010/slicer">
              <sle:slicer xmlns:sle="http://schemas.microsoft.com/office/drawing/2010/slicer" name="Detention_Status 1"/>
            </a:graphicData>
          </a:graphic>
        </xdr:graphicFrame>
      </mc:Choice>
      <mc:Fallback xmlns="">
        <xdr:sp macro="" textlink="">
          <xdr:nvSpPr>
            <xdr:cNvPr id="0" name=""/>
            <xdr:cNvSpPr>
              <a:spLocks noTextEdit="1"/>
            </xdr:cNvSpPr>
          </xdr:nvSpPr>
          <xdr:spPr>
            <a:xfrm>
              <a:off x="14358463" y="4644992"/>
              <a:ext cx="2644211" cy="8681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329258</xdr:colOff>
      <xdr:row>25</xdr:row>
      <xdr:rowOff>0</xdr:rowOff>
    </xdr:from>
    <xdr:to>
      <xdr:col>23</xdr:col>
      <xdr:colOff>273706</xdr:colOff>
      <xdr:row>29</xdr:row>
      <xdr:rowOff>85504</xdr:rowOff>
    </xdr:to>
    <mc:AlternateContent xmlns:mc="http://schemas.openxmlformats.org/markup-compatibility/2006" xmlns:a14="http://schemas.microsoft.com/office/drawing/2010/main">
      <mc:Choice Requires="a14">
        <xdr:graphicFrame macro="">
          <xdr:nvGraphicFramePr>
            <xdr:cNvPr id="5" name="Condonation_Status 1">
              <a:extLst>
                <a:ext uri="{FF2B5EF4-FFF2-40B4-BE49-F238E27FC236}">
                  <a16:creationId xmlns:a16="http://schemas.microsoft.com/office/drawing/2014/main" id="{BF92E45F-1138-423F-8F29-7231AC73B0D3}"/>
                </a:ext>
              </a:extLst>
            </xdr:cNvPr>
            <xdr:cNvGraphicFramePr/>
          </xdr:nvGraphicFramePr>
          <xdr:xfrm>
            <a:off x="0" y="0"/>
            <a:ext cx="0" cy="0"/>
          </xdr:xfrm>
          <a:graphic>
            <a:graphicData uri="http://schemas.microsoft.com/office/drawing/2010/slicer">
              <sle:slicer xmlns:sle="http://schemas.microsoft.com/office/drawing/2010/slicer" name="Condonation_Status 1"/>
            </a:graphicData>
          </a:graphic>
        </xdr:graphicFrame>
      </mc:Choice>
      <mc:Fallback xmlns="">
        <xdr:sp macro="" textlink="">
          <xdr:nvSpPr>
            <xdr:cNvPr id="0" name=""/>
            <xdr:cNvSpPr>
              <a:spLocks noTextEdit="1"/>
            </xdr:cNvSpPr>
          </xdr:nvSpPr>
          <xdr:spPr>
            <a:xfrm>
              <a:off x="11365121" y="4653017"/>
              <a:ext cx="2966172" cy="829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295605</xdr:colOff>
      <xdr:row>29</xdr:row>
      <xdr:rowOff>164224</xdr:rowOff>
    </xdr:from>
    <xdr:to>
      <xdr:col>27</xdr:col>
      <xdr:colOff>459829</xdr:colOff>
      <xdr:row>39</xdr:row>
      <xdr:rowOff>126895</xdr:rowOff>
    </xdr:to>
    <mc:AlternateContent xmlns:mc="http://schemas.openxmlformats.org/markup-compatibility/2006" xmlns:a14="http://schemas.microsoft.com/office/drawing/2010/main">
      <mc:Choice Requires="a14">
        <xdr:graphicFrame macro="">
          <xdr:nvGraphicFramePr>
            <xdr:cNvPr id="6" name="Failed_Most_Sub 1">
              <a:extLst>
                <a:ext uri="{FF2B5EF4-FFF2-40B4-BE49-F238E27FC236}">
                  <a16:creationId xmlns:a16="http://schemas.microsoft.com/office/drawing/2014/main" id="{B487D6AD-696B-4518-99B8-EAADAD69DEC1}"/>
                </a:ext>
              </a:extLst>
            </xdr:cNvPr>
            <xdr:cNvGraphicFramePr/>
          </xdr:nvGraphicFramePr>
          <xdr:xfrm>
            <a:off x="0" y="0"/>
            <a:ext cx="0" cy="0"/>
          </xdr:xfrm>
          <a:graphic>
            <a:graphicData uri="http://schemas.microsoft.com/office/drawing/2010/slicer">
              <sle:slicer xmlns:sle="http://schemas.microsoft.com/office/drawing/2010/slicer" name="Failed_Most_Sub 1"/>
            </a:graphicData>
          </a:graphic>
        </xdr:graphicFrame>
      </mc:Choice>
      <mc:Fallback xmlns="">
        <xdr:sp macro="" textlink="">
          <xdr:nvSpPr>
            <xdr:cNvPr id="0" name=""/>
            <xdr:cNvSpPr>
              <a:spLocks noTextEdit="1"/>
            </xdr:cNvSpPr>
          </xdr:nvSpPr>
          <xdr:spPr>
            <a:xfrm>
              <a:off x="14396984" y="5561724"/>
              <a:ext cx="2616638" cy="1823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394139</xdr:colOff>
      <xdr:row>29</xdr:row>
      <xdr:rowOff>131379</xdr:rowOff>
    </xdr:from>
    <xdr:to>
      <xdr:col>23</xdr:col>
      <xdr:colOff>251812</xdr:colOff>
      <xdr:row>39</xdr:row>
      <xdr:rowOff>98533</xdr:rowOff>
    </xdr:to>
    <mc:AlternateContent xmlns:mc="http://schemas.openxmlformats.org/markup-compatibility/2006" xmlns:a14="http://schemas.microsoft.com/office/drawing/2010/main">
      <mc:Choice Requires="a14">
        <xdr:graphicFrame macro="">
          <xdr:nvGraphicFramePr>
            <xdr:cNvPr id="7" name="Studying_year 1">
              <a:extLst>
                <a:ext uri="{FF2B5EF4-FFF2-40B4-BE49-F238E27FC236}">
                  <a16:creationId xmlns:a16="http://schemas.microsoft.com/office/drawing/2014/main" id="{A48E5112-E472-409A-9156-3B2A341C6013}"/>
                </a:ext>
              </a:extLst>
            </xdr:cNvPr>
            <xdr:cNvGraphicFramePr/>
          </xdr:nvGraphicFramePr>
          <xdr:xfrm>
            <a:off x="0" y="0"/>
            <a:ext cx="0" cy="0"/>
          </xdr:xfrm>
          <a:graphic>
            <a:graphicData uri="http://schemas.microsoft.com/office/drawing/2010/slicer">
              <sle:slicer xmlns:sle="http://schemas.microsoft.com/office/drawing/2010/slicer" name="Studying_year 1"/>
            </a:graphicData>
          </a:graphic>
        </xdr:graphicFrame>
      </mc:Choice>
      <mc:Fallback xmlns="">
        <xdr:sp macro="" textlink="">
          <xdr:nvSpPr>
            <xdr:cNvPr id="0" name=""/>
            <xdr:cNvSpPr>
              <a:spLocks noTextEdit="1"/>
            </xdr:cNvSpPr>
          </xdr:nvSpPr>
          <xdr:spPr>
            <a:xfrm>
              <a:off x="11430001" y="5528879"/>
              <a:ext cx="2923190" cy="1828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10949</xdr:colOff>
      <xdr:row>9</xdr:row>
      <xdr:rowOff>178094</xdr:rowOff>
    </xdr:from>
    <xdr:to>
      <xdr:col>33</xdr:col>
      <xdr:colOff>262758</xdr:colOff>
      <xdr:row>16</xdr:row>
      <xdr:rowOff>98535</xdr:rowOff>
    </xdr:to>
    <mc:AlternateContent xmlns:mc="http://schemas.openxmlformats.org/markup-compatibility/2006" xmlns:a14="http://schemas.microsoft.com/office/drawing/2010/main">
      <mc:Choice Requires="a14">
        <xdr:graphicFrame macro="">
          <xdr:nvGraphicFramePr>
            <xdr:cNvPr id="8" name="Result 1">
              <a:extLst>
                <a:ext uri="{FF2B5EF4-FFF2-40B4-BE49-F238E27FC236}">
                  <a16:creationId xmlns:a16="http://schemas.microsoft.com/office/drawing/2014/main" id="{A168C54B-A97A-4360-A6B4-EF2ABF019BB7}"/>
                </a:ext>
              </a:extLst>
            </xdr:cNvPr>
            <xdr:cNvGraphicFramePr/>
          </xdr:nvGraphicFramePr>
          <xdr:xfrm>
            <a:off x="0" y="0"/>
            <a:ext cx="0" cy="0"/>
          </xdr:xfrm>
          <a:graphic>
            <a:graphicData uri="http://schemas.microsoft.com/office/drawing/2010/slicer">
              <sle:slicer xmlns:sle="http://schemas.microsoft.com/office/drawing/2010/slicer" name="Result 1"/>
            </a:graphicData>
          </a:graphic>
        </xdr:graphicFrame>
      </mc:Choice>
      <mc:Fallback xmlns="">
        <xdr:sp macro="" textlink="">
          <xdr:nvSpPr>
            <xdr:cNvPr id="0" name=""/>
            <xdr:cNvSpPr>
              <a:spLocks noTextEdit="1"/>
            </xdr:cNvSpPr>
          </xdr:nvSpPr>
          <xdr:spPr>
            <a:xfrm>
              <a:off x="17177846" y="1853180"/>
              <a:ext cx="3317326" cy="1190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580259</xdr:colOff>
      <xdr:row>16</xdr:row>
      <xdr:rowOff>146550</xdr:rowOff>
    </xdr:from>
    <xdr:to>
      <xdr:col>33</xdr:col>
      <xdr:colOff>273707</xdr:colOff>
      <xdr:row>29</xdr:row>
      <xdr:rowOff>177152</xdr:rowOff>
    </xdr:to>
    <mc:AlternateContent xmlns:mc="http://schemas.openxmlformats.org/markup-compatibility/2006" xmlns:a14="http://schemas.microsoft.com/office/drawing/2010/main">
      <mc:Choice Requires="a14">
        <xdr:graphicFrame macro="">
          <xdr:nvGraphicFramePr>
            <xdr:cNvPr id="9" name="Branch 1">
              <a:extLst>
                <a:ext uri="{FF2B5EF4-FFF2-40B4-BE49-F238E27FC236}">
                  <a16:creationId xmlns:a16="http://schemas.microsoft.com/office/drawing/2014/main" id="{B39FA0FB-374F-4823-8789-1EDA1E27422F}"/>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17134052" y="3124481"/>
              <a:ext cx="3372069" cy="2450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593448</xdr:colOff>
      <xdr:row>10</xdr:row>
      <xdr:rowOff>1054</xdr:rowOff>
    </xdr:from>
    <xdr:to>
      <xdr:col>16</xdr:col>
      <xdr:colOff>229914</xdr:colOff>
      <xdr:row>24</xdr:row>
      <xdr:rowOff>131378</xdr:rowOff>
    </xdr:to>
    <xdr:graphicFrame macro="">
      <xdr:nvGraphicFramePr>
        <xdr:cNvPr id="10" name="Chart 9">
          <a:extLst>
            <a:ext uri="{FF2B5EF4-FFF2-40B4-BE49-F238E27FC236}">
              <a16:creationId xmlns:a16="http://schemas.microsoft.com/office/drawing/2014/main" id="{E5B3CA13-DC87-444E-BB3F-676BB6D02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428170</xdr:colOff>
      <xdr:row>39</xdr:row>
      <xdr:rowOff>136787</xdr:rowOff>
    </xdr:from>
    <xdr:to>
      <xdr:col>16</xdr:col>
      <xdr:colOff>267506</xdr:colOff>
      <xdr:row>54</xdr:row>
      <xdr:rowOff>125770</xdr:rowOff>
    </xdr:to>
    <xdr:graphicFrame macro="">
      <xdr:nvGraphicFramePr>
        <xdr:cNvPr id="11" name="Chart 10">
          <a:extLst>
            <a:ext uri="{FF2B5EF4-FFF2-40B4-BE49-F238E27FC236}">
              <a16:creationId xmlns:a16="http://schemas.microsoft.com/office/drawing/2014/main" id="{677A2249-2C8D-4D70-BC38-AE894C5F9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330587</xdr:colOff>
      <xdr:row>24</xdr:row>
      <xdr:rowOff>141793</xdr:rowOff>
    </xdr:from>
    <xdr:to>
      <xdr:col>18</xdr:col>
      <xdr:colOff>338329</xdr:colOff>
      <xdr:row>39</xdr:row>
      <xdr:rowOff>128536</xdr:rowOff>
    </xdr:to>
    <xdr:graphicFrame macro="">
      <xdr:nvGraphicFramePr>
        <xdr:cNvPr id="12" name="Chart 11">
          <a:extLst>
            <a:ext uri="{FF2B5EF4-FFF2-40B4-BE49-F238E27FC236}">
              <a16:creationId xmlns:a16="http://schemas.microsoft.com/office/drawing/2014/main" id="{D0ED9AC3-AFA5-480A-8760-49229263F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32845</xdr:colOff>
      <xdr:row>39</xdr:row>
      <xdr:rowOff>124437</xdr:rowOff>
    </xdr:from>
    <xdr:to>
      <xdr:col>7</xdr:col>
      <xdr:colOff>390402</xdr:colOff>
      <xdr:row>54</xdr:row>
      <xdr:rowOff>79832</xdr:rowOff>
    </xdr:to>
    <xdr:graphicFrame macro="">
      <xdr:nvGraphicFramePr>
        <xdr:cNvPr id="13" name="Chart 12">
          <a:extLst>
            <a:ext uri="{FF2B5EF4-FFF2-40B4-BE49-F238E27FC236}">
              <a16:creationId xmlns:a16="http://schemas.microsoft.com/office/drawing/2014/main" id="{2C60C113-47E8-42AB-8C4C-439876E84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124170</xdr:colOff>
      <xdr:row>9</xdr:row>
      <xdr:rowOff>174640</xdr:rowOff>
    </xdr:from>
    <xdr:to>
      <xdr:col>7</xdr:col>
      <xdr:colOff>574652</xdr:colOff>
      <xdr:row>24</xdr:row>
      <xdr:rowOff>130034</xdr:rowOff>
    </xdr:to>
    <xdr:graphicFrame macro="">
      <xdr:nvGraphicFramePr>
        <xdr:cNvPr id="14" name="Chart 13">
          <a:extLst>
            <a:ext uri="{FF2B5EF4-FFF2-40B4-BE49-F238E27FC236}">
              <a16:creationId xmlns:a16="http://schemas.microsoft.com/office/drawing/2014/main" id="{9822A6FE-916E-4426-8217-29A95FD0C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56611</xdr:colOff>
      <xdr:row>24</xdr:row>
      <xdr:rowOff>148201</xdr:rowOff>
    </xdr:from>
    <xdr:to>
      <xdr:col>10</xdr:col>
      <xdr:colOff>306553</xdr:colOff>
      <xdr:row>39</xdr:row>
      <xdr:rowOff>103330</xdr:rowOff>
    </xdr:to>
    <xdr:graphicFrame macro="">
      <xdr:nvGraphicFramePr>
        <xdr:cNvPr id="15" name="Chart 14">
          <a:extLst>
            <a:ext uri="{FF2B5EF4-FFF2-40B4-BE49-F238E27FC236}">
              <a16:creationId xmlns:a16="http://schemas.microsoft.com/office/drawing/2014/main" id="{21480C68-C327-48F8-AB2C-774854AC2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295333</xdr:colOff>
      <xdr:row>39</xdr:row>
      <xdr:rowOff>138590</xdr:rowOff>
    </xdr:from>
    <xdr:to>
      <xdr:col>27</xdr:col>
      <xdr:colOff>552218</xdr:colOff>
      <xdr:row>54</xdr:row>
      <xdr:rowOff>93986</xdr:rowOff>
    </xdr:to>
    <xdr:graphicFrame macro="">
      <xdr:nvGraphicFramePr>
        <xdr:cNvPr id="17" name="Chart 16">
          <a:extLst>
            <a:ext uri="{FF2B5EF4-FFF2-40B4-BE49-F238E27FC236}">
              <a16:creationId xmlns:a16="http://schemas.microsoft.com/office/drawing/2014/main" id="{9A92E2AD-7405-4628-AE19-DE4DE74A6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240863</xdr:colOff>
      <xdr:row>1</xdr:row>
      <xdr:rowOff>0</xdr:rowOff>
    </xdr:from>
    <xdr:to>
      <xdr:col>3</xdr:col>
      <xdr:colOff>503621</xdr:colOff>
      <xdr:row>9</xdr:row>
      <xdr:rowOff>0</xdr:rowOff>
    </xdr:to>
    <xdr:pic>
      <xdr:nvPicPr>
        <xdr:cNvPr id="20" name="Graphic 19" descr="Schoolhouse with solid fill">
          <a:extLst>
            <a:ext uri="{FF2B5EF4-FFF2-40B4-BE49-F238E27FC236}">
              <a16:creationId xmlns:a16="http://schemas.microsoft.com/office/drawing/2014/main" id="{4660FD69-FFB6-53C3-C1C8-1AA75FD3F7B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53966" y="186121"/>
          <a:ext cx="1488965" cy="1488965"/>
        </a:xfrm>
        <a:prstGeom prst="rect">
          <a:avLst/>
        </a:prstGeom>
      </xdr:spPr>
    </xdr:pic>
    <xdr:clientData/>
  </xdr:twoCellAnchor>
  <xdr:oneCellAnchor>
    <xdr:from>
      <xdr:col>16</xdr:col>
      <xdr:colOff>438626</xdr:colOff>
      <xdr:row>13</xdr:row>
      <xdr:rowOff>94989</xdr:rowOff>
    </xdr:from>
    <xdr:ext cx="184731" cy="937693"/>
    <xdr:sp macro="" textlink="">
      <xdr:nvSpPr>
        <xdr:cNvPr id="19" name="Rectangle 18">
          <a:extLst>
            <a:ext uri="{FF2B5EF4-FFF2-40B4-BE49-F238E27FC236}">
              <a16:creationId xmlns:a16="http://schemas.microsoft.com/office/drawing/2014/main" id="{B605A5D9-D3FB-AB7C-7848-194F96129D0E}"/>
            </a:ext>
          </a:extLst>
        </xdr:cNvPr>
        <xdr:cNvSpPr/>
      </xdr:nvSpPr>
      <xdr:spPr>
        <a:xfrm>
          <a:off x="10248281" y="2514558"/>
          <a:ext cx="184731" cy="937693"/>
        </a:xfrm>
        <a:prstGeom prst="rect">
          <a:avLst/>
        </a:prstGeom>
        <a:noFill/>
      </xdr:spPr>
      <xdr:txBody>
        <a:bodyPr wrap="none" lIns="91440" tIns="45720" rIns="91440" bIns="45720">
          <a:spAutoFit/>
        </a:bodyPr>
        <a:lstStyle/>
        <a:p>
          <a:pPr algn="ctr"/>
          <a:endParaRPr lang="en-IN"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16</xdr:col>
      <xdr:colOff>273707</xdr:colOff>
      <xdr:row>10</xdr:row>
      <xdr:rowOff>0</xdr:rowOff>
    </xdr:from>
    <xdr:to>
      <xdr:col>20</xdr:col>
      <xdr:colOff>262759</xdr:colOff>
      <xdr:row>17</xdr:row>
      <xdr:rowOff>175172</xdr:rowOff>
    </xdr:to>
    <xdr:sp macro="" textlink="Svcet!P49">
      <xdr:nvSpPr>
        <xdr:cNvPr id="25" name="Rectangle: Rounded Corners 24">
          <a:extLst>
            <a:ext uri="{FF2B5EF4-FFF2-40B4-BE49-F238E27FC236}">
              <a16:creationId xmlns:a16="http://schemas.microsoft.com/office/drawing/2014/main" id="{B52481D7-71C4-4712-8686-23E0BA84DD0E}"/>
            </a:ext>
          </a:extLst>
        </xdr:cNvPr>
        <xdr:cNvSpPr/>
      </xdr:nvSpPr>
      <xdr:spPr>
        <a:xfrm>
          <a:off x="10083362" y="1861207"/>
          <a:ext cx="2441466" cy="1478017"/>
        </a:xfrm>
        <a:prstGeom prst="roundRect">
          <a:avLst/>
        </a:prstGeom>
        <a:solidFill>
          <a:schemeClr val="bg1"/>
        </a:solidFill>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BAB478BA-5EEA-4609-9CE4-34D8E469127B}" type="TxLink">
            <a:rPr lang="en-US" sz="2800" b="1" i="0" u="none" strike="noStrike">
              <a:solidFill>
                <a:srgbClr val="000000"/>
              </a:solidFill>
              <a:latin typeface="Segoe UI Variable Small Semibol" pitchFamily="2" charset="0"/>
              <a:ea typeface="+mn-ea"/>
              <a:cs typeface="+mn-cs"/>
            </a:rPr>
            <a:pPr marL="0" indent="0" algn="ctr"/>
            <a:t>1001</a:t>
          </a:fld>
          <a:endParaRPr lang="en-IN" sz="2800" b="1" i="0" u="none" strike="noStrike">
            <a:solidFill>
              <a:srgbClr val="000000"/>
            </a:solidFill>
            <a:latin typeface="Segoe UI Variable Small Semibol" pitchFamily="2" charset="0"/>
            <a:ea typeface="+mn-ea"/>
            <a:cs typeface="+mn-cs"/>
          </a:endParaRPr>
        </a:p>
      </xdr:txBody>
    </xdr:sp>
    <xdr:clientData/>
  </xdr:twoCellAnchor>
  <xdr:twoCellAnchor>
    <xdr:from>
      <xdr:col>20</xdr:col>
      <xdr:colOff>284655</xdr:colOff>
      <xdr:row>10</xdr:row>
      <xdr:rowOff>1054</xdr:rowOff>
    </xdr:from>
    <xdr:to>
      <xdr:col>24</xdr:col>
      <xdr:colOff>251810</xdr:colOff>
      <xdr:row>17</xdr:row>
      <xdr:rowOff>164224</xdr:rowOff>
    </xdr:to>
    <xdr:sp macro="" textlink="Svcet!O83">
      <xdr:nvSpPr>
        <xdr:cNvPr id="23" name="Rectangle: Rounded Corners 22">
          <a:extLst>
            <a:ext uri="{FF2B5EF4-FFF2-40B4-BE49-F238E27FC236}">
              <a16:creationId xmlns:a16="http://schemas.microsoft.com/office/drawing/2014/main" id="{EA8702E4-7B9B-0079-D8A0-FAB4102BDA93}"/>
            </a:ext>
          </a:extLst>
        </xdr:cNvPr>
        <xdr:cNvSpPr/>
      </xdr:nvSpPr>
      <xdr:spPr>
        <a:xfrm>
          <a:off x="12546724" y="1862261"/>
          <a:ext cx="2419569" cy="1466015"/>
        </a:xfrm>
        <a:prstGeom prst="roundRect">
          <a:avLst/>
        </a:prstGeom>
        <a:solidFill>
          <a:schemeClr val="accent3">
            <a:lumMod val="40000"/>
            <a:lumOff val="60000"/>
          </a:schemeClr>
        </a:solidFill>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9BBEEC8E-5B89-4A25-8C7D-C4C09D7FE995}" type="TxLink">
            <a:rPr lang="en-US" sz="2800" b="1" i="0" u="none" strike="noStrike">
              <a:solidFill>
                <a:srgbClr val="000000"/>
              </a:solidFill>
              <a:latin typeface="Segoe UI Variable Small Semibol" pitchFamily="2" charset="0"/>
              <a:ea typeface="+mn-ea"/>
              <a:cs typeface="+mn-cs"/>
            </a:rPr>
            <a:pPr marL="0" indent="0" algn="ctr"/>
            <a:t>881</a:t>
          </a:fld>
          <a:endParaRPr lang="en-IN" sz="2800" b="1" i="0" u="none" strike="noStrike">
            <a:solidFill>
              <a:srgbClr val="000000"/>
            </a:solidFill>
            <a:latin typeface="Segoe UI Variable Small Semibol" pitchFamily="2" charset="0"/>
            <a:ea typeface="+mn-ea"/>
            <a:cs typeface="+mn-cs"/>
          </a:endParaRPr>
        </a:p>
      </xdr:txBody>
    </xdr:sp>
    <xdr:clientData/>
  </xdr:twoCellAnchor>
  <xdr:twoCellAnchor>
    <xdr:from>
      <xdr:col>16</xdr:col>
      <xdr:colOff>438626</xdr:colOff>
      <xdr:row>11</xdr:row>
      <xdr:rowOff>175173</xdr:rowOff>
    </xdr:from>
    <xdr:to>
      <xdr:col>20</xdr:col>
      <xdr:colOff>262759</xdr:colOff>
      <xdr:row>15</xdr:row>
      <xdr:rowOff>1</xdr:rowOff>
    </xdr:to>
    <xdr:sp macro="" textlink="">
      <xdr:nvSpPr>
        <xdr:cNvPr id="21" name="TextBox 20">
          <a:extLst>
            <a:ext uri="{FF2B5EF4-FFF2-40B4-BE49-F238E27FC236}">
              <a16:creationId xmlns:a16="http://schemas.microsoft.com/office/drawing/2014/main" id="{12F270CD-1970-5364-187B-DDE37213427E}"/>
            </a:ext>
          </a:extLst>
        </xdr:cNvPr>
        <xdr:cNvSpPr txBox="1">
          <a:spLocks/>
        </xdr:cNvSpPr>
      </xdr:nvSpPr>
      <xdr:spPr>
        <a:xfrm>
          <a:off x="10248281" y="2222501"/>
          <a:ext cx="2276547" cy="569310"/>
        </a:xfrm>
        <a:prstGeom prst="rect">
          <a:avLst/>
        </a:prstGeom>
        <a:solidFill>
          <a:schemeClr val="bg1"/>
        </a:solidFill>
        <a:ln>
          <a:no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IN" sz="2000" b="1" i="0" u="none" strike="noStrike">
              <a:solidFill>
                <a:srgbClr val="000000"/>
              </a:solidFill>
              <a:latin typeface="Segoe UI Variable Small Semibol" pitchFamily="2" charset="0"/>
              <a:ea typeface="+mn-ea"/>
              <a:cs typeface="+mn-cs"/>
            </a:rPr>
            <a:t>Total Students</a:t>
          </a:r>
        </a:p>
      </xdr:txBody>
    </xdr:sp>
    <xdr:clientData/>
  </xdr:twoCellAnchor>
  <xdr:twoCellAnchor>
    <xdr:from>
      <xdr:col>24</xdr:col>
      <xdr:colOff>229914</xdr:colOff>
      <xdr:row>10</xdr:row>
      <xdr:rowOff>0</xdr:rowOff>
    </xdr:from>
    <xdr:to>
      <xdr:col>28</xdr:col>
      <xdr:colOff>43793</xdr:colOff>
      <xdr:row>17</xdr:row>
      <xdr:rowOff>175172</xdr:rowOff>
    </xdr:to>
    <xdr:sp macro="" textlink="Svcet!O91">
      <xdr:nvSpPr>
        <xdr:cNvPr id="26" name="Rectangle: Rounded Corners 25">
          <a:extLst>
            <a:ext uri="{FF2B5EF4-FFF2-40B4-BE49-F238E27FC236}">
              <a16:creationId xmlns:a16="http://schemas.microsoft.com/office/drawing/2014/main" id="{038A0BB9-6BC8-4252-9537-B97EE56F411C}"/>
            </a:ext>
          </a:extLst>
        </xdr:cNvPr>
        <xdr:cNvSpPr/>
      </xdr:nvSpPr>
      <xdr:spPr>
        <a:xfrm>
          <a:off x="14944397" y="1861207"/>
          <a:ext cx="2266293" cy="1478017"/>
        </a:xfrm>
        <a:prstGeom prst="roundRect">
          <a:avLst/>
        </a:prstGeom>
        <a:solidFill>
          <a:srgbClr val="FA6C6C"/>
        </a:solidFill>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A07ACE30-6ED1-4632-A656-6AADD69632A5}" type="TxLink">
            <a:rPr lang="en-US" sz="2800" b="1" i="0" u="none" strike="noStrike">
              <a:solidFill>
                <a:srgbClr val="000000"/>
              </a:solidFill>
              <a:latin typeface="Segoe UI Variable Small Semibol" pitchFamily="2" charset="0"/>
              <a:ea typeface="+mn-ea"/>
              <a:cs typeface="+mn-cs"/>
            </a:rPr>
            <a:pPr marL="0" indent="0" algn="ctr"/>
            <a:t>119</a:t>
          </a:fld>
          <a:endParaRPr lang="en-IN" sz="2800" b="1" i="0" u="none" strike="noStrike">
            <a:solidFill>
              <a:srgbClr val="000000"/>
            </a:solidFill>
            <a:latin typeface="Segoe UI Variable Small Semibol" pitchFamily="2" charset="0"/>
            <a:ea typeface="+mn-ea"/>
            <a:cs typeface="+mn-cs"/>
          </a:endParaRPr>
        </a:p>
      </xdr:txBody>
    </xdr:sp>
    <xdr:clientData/>
  </xdr:twoCellAnchor>
  <xdr:twoCellAnchor>
    <xdr:from>
      <xdr:col>20</xdr:col>
      <xdr:colOff>558363</xdr:colOff>
      <xdr:row>12</xdr:row>
      <xdr:rowOff>0</xdr:rowOff>
    </xdr:from>
    <xdr:to>
      <xdr:col>23</xdr:col>
      <xdr:colOff>558364</xdr:colOff>
      <xdr:row>14</xdr:row>
      <xdr:rowOff>0</xdr:rowOff>
    </xdr:to>
    <xdr:sp macro="" textlink="">
      <xdr:nvSpPr>
        <xdr:cNvPr id="27" name="TextBox 26">
          <a:extLst>
            <a:ext uri="{FF2B5EF4-FFF2-40B4-BE49-F238E27FC236}">
              <a16:creationId xmlns:a16="http://schemas.microsoft.com/office/drawing/2014/main" id="{30BDC27F-CA5B-BE3A-DD20-A378DD16FE05}"/>
            </a:ext>
          </a:extLst>
        </xdr:cNvPr>
        <xdr:cNvSpPr txBox="1"/>
      </xdr:nvSpPr>
      <xdr:spPr>
        <a:xfrm>
          <a:off x="12820432" y="2233448"/>
          <a:ext cx="1839311" cy="372242"/>
        </a:xfrm>
        <a:prstGeom prst="rect">
          <a:avLst/>
        </a:prstGeom>
        <a:solidFill>
          <a:schemeClr val="accent3">
            <a:lumMod val="40000"/>
            <a:lumOff val="60000"/>
          </a:schemeClr>
        </a:solidFill>
        <a:ln>
          <a:no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r>
            <a:rPr lang="en-IN" sz="2800" b="1" i="0" u="none" strike="noStrike">
              <a:solidFill>
                <a:srgbClr val="000000"/>
              </a:solidFill>
              <a:latin typeface="Segoe UI Variable Small Semibol" pitchFamily="2" charset="0"/>
              <a:ea typeface="+mn-ea"/>
              <a:cs typeface="+mn-cs"/>
            </a:rPr>
            <a:t>Pass</a:t>
          </a:r>
        </a:p>
      </xdr:txBody>
    </xdr:sp>
    <xdr:clientData/>
  </xdr:twoCellAnchor>
  <xdr:twoCellAnchor>
    <xdr:from>
      <xdr:col>24</xdr:col>
      <xdr:colOff>503620</xdr:colOff>
      <xdr:row>12</xdr:row>
      <xdr:rowOff>21897</xdr:rowOff>
    </xdr:from>
    <xdr:to>
      <xdr:col>27</xdr:col>
      <xdr:colOff>339398</xdr:colOff>
      <xdr:row>14</xdr:row>
      <xdr:rowOff>21896</xdr:rowOff>
    </xdr:to>
    <xdr:sp macro="" textlink="">
      <xdr:nvSpPr>
        <xdr:cNvPr id="28" name="TextBox 27">
          <a:extLst>
            <a:ext uri="{FF2B5EF4-FFF2-40B4-BE49-F238E27FC236}">
              <a16:creationId xmlns:a16="http://schemas.microsoft.com/office/drawing/2014/main" id="{B1094D84-3509-125C-998A-6E2DBE9EEF19}"/>
            </a:ext>
          </a:extLst>
        </xdr:cNvPr>
        <xdr:cNvSpPr txBox="1"/>
      </xdr:nvSpPr>
      <xdr:spPr>
        <a:xfrm>
          <a:off x="15218103" y="2255345"/>
          <a:ext cx="1675088" cy="372241"/>
        </a:xfrm>
        <a:prstGeom prst="rect">
          <a:avLst/>
        </a:prstGeom>
        <a:solidFill>
          <a:srgbClr val="FA6C6C"/>
        </a:solidFill>
        <a:ln>
          <a:no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r>
            <a:rPr lang="en-IN" sz="2800" b="1" i="0" u="none" strike="noStrike">
              <a:solidFill>
                <a:srgbClr val="000000"/>
              </a:solidFill>
              <a:latin typeface="Segoe UI Variable Small Semibol" pitchFamily="2" charset="0"/>
              <a:ea typeface="+mn-ea"/>
              <a:cs typeface="+mn-cs"/>
            </a:rPr>
            <a:t>Fail</a:t>
          </a:r>
        </a:p>
      </xdr:txBody>
    </xdr:sp>
    <xdr:clientData/>
  </xdr:twoCellAnchor>
  <xdr:twoCellAnchor>
    <xdr:from>
      <xdr:col>16</xdr:col>
      <xdr:colOff>295333</xdr:colOff>
      <xdr:row>17</xdr:row>
      <xdr:rowOff>186119</xdr:rowOff>
    </xdr:from>
    <xdr:to>
      <xdr:col>27</xdr:col>
      <xdr:colOff>552218</xdr:colOff>
      <xdr:row>24</xdr:row>
      <xdr:rowOff>178095</xdr:rowOff>
    </xdr:to>
    <xdr:sp macro="" textlink="Svcet!O17">
      <xdr:nvSpPr>
        <xdr:cNvPr id="29" name="Rectangle: Rounded Corners 28">
          <a:extLst>
            <a:ext uri="{FF2B5EF4-FFF2-40B4-BE49-F238E27FC236}">
              <a16:creationId xmlns:a16="http://schemas.microsoft.com/office/drawing/2014/main" id="{E5684734-68E9-456F-BC1B-B8877F6EDA9B}"/>
            </a:ext>
          </a:extLst>
        </xdr:cNvPr>
        <xdr:cNvSpPr/>
      </xdr:nvSpPr>
      <xdr:spPr>
        <a:xfrm>
          <a:off x="10104988" y="3350171"/>
          <a:ext cx="7001023" cy="1294821"/>
        </a:xfrm>
        <a:prstGeom prst="roundRect">
          <a:avLst/>
        </a:prstGeom>
        <a:solidFill>
          <a:schemeClr val="accent4">
            <a:lumMod val="40000"/>
            <a:lumOff val="60000"/>
          </a:schemeClr>
        </a:solidFill>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86FB2B7D-51D9-46BD-BF74-1C21583A831A}" type="TxLink">
            <a:rPr lang="en-US" sz="2800" b="1" i="0" u="none" strike="noStrike">
              <a:solidFill>
                <a:srgbClr val="000000"/>
              </a:solidFill>
              <a:latin typeface="Segoe UI Variable Small Semibol" pitchFamily="2" charset="0"/>
              <a:ea typeface="+mn-ea"/>
              <a:cs typeface="+mn-cs"/>
            </a:rPr>
            <a:pPr marL="0" indent="0" algn="ctr"/>
            <a:t>243</a:t>
          </a:fld>
          <a:endParaRPr lang="en-IN" sz="2800" b="1" i="0" u="none" strike="noStrike">
            <a:solidFill>
              <a:srgbClr val="000000"/>
            </a:solidFill>
            <a:latin typeface="Segoe UI Variable Small Semibol" pitchFamily="2" charset="0"/>
            <a:ea typeface="+mn-ea"/>
            <a:cs typeface="+mn-cs"/>
          </a:endParaRPr>
        </a:p>
      </xdr:txBody>
    </xdr:sp>
    <xdr:clientData/>
  </xdr:twoCellAnchor>
  <xdr:twoCellAnchor>
    <xdr:from>
      <xdr:col>18</xdr:col>
      <xdr:colOff>0</xdr:colOff>
      <xdr:row>19</xdr:row>
      <xdr:rowOff>1</xdr:rowOff>
    </xdr:from>
    <xdr:to>
      <xdr:col>27</xdr:col>
      <xdr:colOff>0</xdr:colOff>
      <xdr:row>22</xdr:row>
      <xdr:rowOff>1</xdr:rowOff>
    </xdr:to>
    <xdr:sp macro="" textlink="">
      <xdr:nvSpPr>
        <xdr:cNvPr id="30" name="TextBox 29">
          <a:extLst>
            <a:ext uri="{FF2B5EF4-FFF2-40B4-BE49-F238E27FC236}">
              <a16:creationId xmlns:a16="http://schemas.microsoft.com/office/drawing/2014/main" id="{A0CA0CA5-9D51-22F6-2E17-53683508E532}"/>
            </a:ext>
          </a:extLst>
        </xdr:cNvPr>
        <xdr:cNvSpPr txBox="1"/>
      </xdr:nvSpPr>
      <xdr:spPr>
        <a:xfrm>
          <a:off x="11035862" y="3536294"/>
          <a:ext cx="5517931" cy="558362"/>
        </a:xfrm>
        <a:prstGeom prst="rect">
          <a:avLst/>
        </a:prstGeom>
        <a:solidFill>
          <a:schemeClr val="accent4">
            <a:lumMod val="40000"/>
            <a:lumOff val="60000"/>
          </a:schemeClr>
        </a:solidFill>
        <a:ln>
          <a:no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r>
            <a:rPr lang="en-IN" sz="2800" b="1" i="0" u="none" strike="noStrike">
              <a:solidFill>
                <a:srgbClr val="000000"/>
              </a:solidFill>
              <a:latin typeface="Segoe UI Variable Small Semibol" pitchFamily="2" charset="0"/>
              <a:ea typeface="+mn-ea"/>
              <a:cs typeface="+mn-cs"/>
            </a:rPr>
            <a:t>College  Placements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152400</xdr:colOff>
      <xdr:row>3</xdr:row>
      <xdr:rowOff>9525</xdr:rowOff>
    </xdr:from>
    <xdr:to>
      <xdr:col>17</xdr:col>
      <xdr:colOff>0</xdr:colOff>
      <xdr:row>17</xdr:row>
      <xdr:rowOff>174625</xdr:rowOff>
    </xdr:to>
    <xdr:graphicFrame macro="">
      <xdr:nvGraphicFramePr>
        <xdr:cNvPr id="2" name="Chart 1">
          <a:extLst>
            <a:ext uri="{FF2B5EF4-FFF2-40B4-BE49-F238E27FC236}">
              <a16:creationId xmlns:a16="http://schemas.microsoft.com/office/drawing/2014/main" id="{05AA1696-6BF4-171B-5CD3-7B8D33DBF9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158750</xdr:colOff>
      <xdr:row>0</xdr:row>
      <xdr:rowOff>114300</xdr:rowOff>
    </xdr:from>
    <xdr:to>
      <xdr:col>6</xdr:col>
      <xdr:colOff>158750</xdr:colOff>
      <xdr:row>14</xdr:row>
      <xdr:rowOff>155572</xdr:rowOff>
    </xdr:to>
    <mc:AlternateContent xmlns:mc="http://schemas.openxmlformats.org/markup-compatibility/2006" xmlns:a14="http://schemas.microsoft.com/office/drawing/2010/main">
      <mc:Choice Requires="a14">
        <xdr:graphicFrame macro="">
          <xdr:nvGraphicFramePr>
            <xdr:cNvPr id="2" name="Branch">
              <a:extLst>
                <a:ext uri="{FF2B5EF4-FFF2-40B4-BE49-F238E27FC236}">
                  <a16:creationId xmlns:a16="http://schemas.microsoft.com/office/drawing/2014/main" id="{425B4D47-FDF8-D0B9-45E2-853573642670}"/>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987550" y="1143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25400</xdr:colOff>
      <xdr:row>3</xdr:row>
      <xdr:rowOff>38100</xdr:rowOff>
    </xdr:from>
    <xdr:to>
      <xdr:col>7</xdr:col>
      <xdr:colOff>25400</xdr:colOff>
      <xdr:row>17</xdr:row>
      <xdr:rowOff>79372</xdr:rowOff>
    </xdr:to>
    <mc:AlternateContent xmlns:mc="http://schemas.openxmlformats.org/markup-compatibility/2006" xmlns:a14="http://schemas.microsoft.com/office/drawing/2010/main">
      <mc:Choice Requires="a14">
        <xdr:graphicFrame macro="">
          <xdr:nvGraphicFramePr>
            <xdr:cNvPr id="3" name="Result">
              <a:extLst>
                <a:ext uri="{FF2B5EF4-FFF2-40B4-BE49-F238E27FC236}">
                  <a16:creationId xmlns:a16="http://schemas.microsoft.com/office/drawing/2014/main" id="{B953C23C-AF19-B40C-0298-F6ABFD19D754}"/>
                </a:ext>
              </a:extLst>
            </xdr:cNvPr>
            <xdr:cNvGraphicFramePr/>
          </xdr:nvGraphicFramePr>
          <xdr:xfrm>
            <a:off x="0" y="0"/>
            <a:ext cx="0" cy="0"/>
          </xdr:xfrm>
          <a:graphic>
            <a:graphicData uri="http://schemas.microsoft.com/office/drawing/2010/slicer">
              <sle:slicer xmlns:sle="http://schemas.microsoft.com/office/drawing/2010/slicer" name="Result"/>
            </a:graphicData>
          </a:graphic>
        </xdr:graphicFrame>
      </mc:Choice>
      <mc:Fallback xmlns="">
        <xdr:sp macro="" textlink="">
          <xdr:nvSpPr>
            <xdr:cNvPr id="0" name=""/>
            <xdr:cNvSpPr>
              <a:spLocks noTextEdit="1"/>
            </xdr:cNvSpPr>
          </xdr:nvSpPr>
          <xdr:spPr>
            <a:xfrm>
              <a:off x="2463800" y="5905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501650</xdr:colOff>
      <xdr:row>5</xdr:row>
      <xdr:rowOff>146050</xdr:rowOff>
    </xdr:from>
    <xdr:to>
      <xdr:col>7</xdr:col>
      <xdr:colOff>501650</xdr:colOff>
      <xdr:row>20</xdr:row>
      <xdr:rowOff>3172</xdr:rowOff>
    </xdr:to>
    <mc:AlternateContent xmlns:mc="http://schemas.openxmlformats.org/markup-compatibility/2006" xmlns:a14="http://schemas.microsoft.com/office/drawing/2010/main">
      <mc:Choice Requires="a14">
        <xdr:graphicFrame macro="">
          <xdr:nvGraphicFramePr>
            <xdr:cNvPr id="4" name="Studying_year">
              <a:extLst>
                <a:ext uri="{FF2B5EF4-FFF2-40B4-BE49-F238E27FC236}">
                  <a16:creationId xmlns:a16="http://schemas.microsoft.com/office/drawing/2014/main" id="{864FEED8-4372-A61A-12EB-9A66F8BB728D}"/>
                </a:ext>
              </a:extLst>
            </xdr:cNvPr>
            <xdr:cNvGraphicFramePr/>
          </xdr:nvGraphicFramePr>
          <xdr:xfrm>
            <a:off x="0" y="0"/>
            <a:ext cx="0" cy="0"/>
          </xdr:xfrm>
          <a:graphic>
            <a:graphicData uri="http://schemas.microsoft.com/office/drawing/2010/slicer">
              <sle:slicer xmlns:sle="http://schemas.microsoft.com/office/drawing/2010/slicer" name="Studying_year"/>
            </a:graphicData>
          </a:graphic>
        </xdr:graphicFrame>
      </mc:Choice>
      <mc:Fallback xmlns="">
        <xdr:sp macro="" textlink="">
          <xdr:nvSpPr>
            <xdr:cNvPr id="0" name=""/>
            <xdr:cNvSpPr>
              <a:spLocks noTextEdit="1"/>
            </xdr:cNvSpPr>
          </xdr:nvSpPr>
          <xdr:spPr>
            <a:xfrm>
              <a:off x="2940050" y="10668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368300</xdr:colOff>
      <xdr:row>8</xdr:row>
      <xdr:rowOff>69850</xdr:rowOff>
    </xdr:from>
    <xdr:to>
      <xdr:col>8</xdr:col>
      <xdr:colOff>368300</xdr:colOff>
      <xdr:row>22</xdr:row>
      <xdr:rowOff>111122</xdr:rowOff>
    </xdr:to>
    <mc:AlternateContent xmlns:mc="http://schemas.openxmlformats.org/markup-compatibility/2006" xmlns:a14="http://schemas.microsoft.com/office/drawing/2010/main">
      <mc:Choice Requires="a14">
        <xdr:graphicFrame macro="">
          <xdr:nvGraphicFramePr>
            <xdr:cNvPr id="5" name="Failed_Most_Sub">
              <a:extLst>
                <a:ext uri="{FF2B5EF4-FFF2-40B4-BE49-F238E27FC236}">
                  <a16:creationId xmlns:a16="http://schemas.microsoft.com/office/drawing/2014/main" id="{2771225F-48B3-E44C-9317-126ABE5AC32E}"/>
                </a:ext>
              </a:extLst>
            </xdr:cNvPr>
            <xdr:cNvGraphicFramePr/>
          </xdr:nvGraphicFramePr>
          <xdr:xfrm>
            <a:off x="0" y="0"/>
            <a:ext cx="0" cy="0"/>
          </xdr:xfrm>
          <a:graphic>
            <a:graphicData uri="http://schemas.microsoft.com/office/drawing/2010/slicer">
              <sle:slicer xmlns:sle="http://schemas.microsoft.com/office/drawing/2010/slicer" name="Failed_Most_Sub"/>
            </a:graphicData>
          </a:graphic>
        </xdr:graphicFrame>
      </mc:Choice>
      <mc:Fallback xmlns="">
        <xdr:sp macro="" textlink="">
          <xdr:nvSpPr>
            <xdr:cNvPr id="0" name=""/>
            <xdr:cNvSpPr>
              <a:spLocks noTextEdit="1"/>
            </xdr:cNvSpPr>
          </xdr:nvSpPr>
          <xdr:spPr>
            <a:xfrm>
              <a:off x="3416300" y="15430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234950</xdr:colOff>
      <xdr:row>10</xdr:row>
      <xdr:rowOff>177800</xdr:rowOff>
    </xdr:from>
    <xdr:to>
      <xdr:col>9</xdr:col>
      <xdr:colOff>234950</xdr:colOff>
      <xdr:row>25</xdr:row>
      <xdr:rowOff>34922</xdr:rowOff>
    </xdr:to>
    <mc:AlternateContent xmlns:mc="http://schemas.openxmlformats.org/markup-compatibility/2006" xmlns:a14="http://schemas.microsoft.com/office/drawing/2010/main">
      <mc:Choice Requires="a14">
        <xdr:graphicFrame macro="">
          <xdr:nvGraphicFramePr>
            <xdr:cNvPr id="6" name="Condonation_Status">
              <a:extLst>
                <a:ext uri="{FF2B5EF4-FFF2-40B4-BE49-F238E27FC236}">
                  <a16:creationId xmlns:a16="http://schemas.microsoft.com/office/drawing/2014/main" id="{897FFC50-2F7F-EAB0-9CA9-D3C0EDE326DB}"/>
                </a:ext>
              </a:extLst>
            </xdr:cNvPr>
            <xdr:cNvGraphicFramePr/>
          </xdr:nvGraphicFramePr>
          <xdr:xfrm>
            <a:off x="0" y="0"/>
            <a:ext cx="0" cy="0"/>
          </xdr:xfrm>
          <a:graphic>
            <a:graphicData uri="http://schemas.microsoft.com/office/drawing/2010/slicer">
              <sle:slicer xmlns:sle="http://schemas.microsoft.com/office/drawing/2010/slicer" name="Condonation_Status"/>
            </a:graphicData>
          </a:graphic>
        </xdr:graphicFrame>
      </mc:Choice>
      <mc:Fallback xmlns="">
        <xdr:sp macro="" textlink="">
          <xdr:nvSpPr>
            <xdr:cNvPr id="0" name=""/>
            <xdr:cNvSpPr>
              <a:spLocks noTextEdit="1"/>
            </xdr:cNvSpPr>
          </xdr:nvSpPr>
          <xdr:spPr>
            <a:xfrm>
              <a:off x="3892550" y="20193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469900</xdr:colOff>
      <xdr:row>5</xdr:row>
      <xdr:rowOff>38100</xdr:rowOff>
    </xdr:from>
    <xdr:to>
      <xdr:col>12</xdr:col>
      <xdr:colOff>469900</xdr:colOff>
      <xdr:row>19</xdr:row>
      <xdr:rowOff>79372</xdr:rowOff>
    </xdr:to>
    <mc:AlternateContent xmlns:mc="http://schemas.openxmlformats.org/markup-compatibility/2006" xmlns:a14="http://schemas.microsoft.com/office/drawing/2010/main">
      <mc:Choice Requires="a14">
        <xdr:graphicFrame macro="">
          <xdr:nvGraphicFramePr>
            <xdr:cNvPr id="7" name="Detention_Status">
              <a:extLst>
                <a:ext uri="{FF2B5EF4-FFF2-40B4-BE49-F238E27FC236}">
                  <a16:creationId xmlns:a16="http://schemas.microsoft.com/office/drawing/2014/main" id="{558DACCC-6698-612A-7602-949E2DED9EC5}"/>
                </a:ext>
              </a:extLst>
            </xdr:cNvPr>
            <xdr:cNvGraphicFramePr/>
          </xdr:nvGraphicFramePr>
          <xdr:xfrm>
            <a:off x="0" y="0"/>
            <a:ext cx="0" cy="0"/>
          </xdr:xfrm>
          <a:graphic>
            <a:graphicData uri="http://schemas.microsoft.com/office/drawing/2010/slicer">
              <sle:slicer xmlns:sle="http://schemas.microsoft.com/office/drawing/2010/slicer" name="Detention_Status"/>
            </a:graphicData>
          </a:graphic>
        </xdr:graphicFrame>
      </mc:Choice>
      <mc:Fallback xmlns="">
        <xdr:sp macro="" textlink="">
          <xdr:nvSpPr>
            <xdr:cNvPr id="0" name=""/>
            <xdr:cNvSpPr>
              <a:spLocks noTextEdit="1"/>
            </xdr:cNvSpPr>
          </xdr:nvSpPr>
          <xdr:spPr>
            <a:xfrm>
              <a:off x="5956300" y="9588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127000</xdr:colOff>
      <xdr:row>3</xdr:row>
      <xdr:rowOff>114300</xdr:rowOff>
    </xdr:from>
    <xdr:to>
      <xdr:col>16</xdr:col>
      <xdr:colOff>127000</xdr:colOff>
      <xdr:row>17</xdr:row>
      <xdr:rowOff>155572</xdr:rowOff>
    </xdr:to>
    <mc:AlternateContent xmlns:mc="http://schemas.openxmlformats.org/markup-compatibility/2006" xmlns:a14="http://schemas.microsoft.com/office/drawing/2010/main">
      <mc:Choice Requires="a14">
        <xdr:graphicFrame macro="">
          <xdr:nvGraphicFramePr>
            <xdr:cNvPr id="8" name="Location">
              <a:extLst>
                <a:ext uri="{FF2B5EF4-FFF2-40B4-BE49-F238E27FC236}">
                  <a16:creationId xmlns:a16="http://schemas.microsoft.com/office/drawing/2014/main" id="{728A7D62-257C-1ABB-E533-A97C6C173ABE}"/>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8051800" y="6667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18</xdr:col>
      <xdr:colOff>435783</xdr:colOff>
      <xdr:row>11</xdr:row>
      <xdr:rowOff>149410</xdr:rowOff>
    </xdr:from>
    <xdr:to>
      <xdr:col>23</xdr:col>
      <xdr:colOff>547842</xdr:colOff>
      <xdr:row>37</xdr:row>
      <xdr:rowOff>161862</xdr:rowOff>
    </xdr:to>
    <xdr:sp macro="" textlink="$P$49">
      <xdr:nvSpPr>
        <xdr:cNvPr id="2" name="Rectangle: Rounded Corners 1">
          <a:extLst>
            <a:ext uri="{FF2B5EF4-FFF2-40B4-BE49-F238E27FC236}">
              <a16:creationId xmlns:a16="http://schemas.microsoft.com/office/drawing/2014/main" id="{9A2C7295-D250-E2D1-C1CF-A2293B235F09}"/>
            </a:ext>
          </a:extLst>
        </xdr:cNvPr>
        <xdr:cNvSpPr/>
      </xdr:nvSpPr>
      <xdr:spPr>
        <a:xfrm>
          <a:off x="17095195" y="1083234"/>
          <a:ext cx="3162549" cy="150656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27649F50-1672-47CB-81CC-D704280FE238}" type="TxLink">
            <a:rPr lang="en-US" sz="4000" b="1" i="0" u="none" strike="noStrike">
              <a:solidFill>
                <a:srgbClr val="000000"/>
              </a:solidFill>
              <a:latin typeface="Segoe UI Semibold" panose="020B0702040204020203" pitchFamily="34" charset="0"/>
              <a:cs typeface="Segoe UI Semibold" panose="020B0702040204020203" pitchFamily="34" charset="0"/>
            </a:rPr>
            <a:pPr algn="ctr"/>
            <a:t>1001</a:t>
          </a:fld>
          <a:endParaRPr lang="en-US" sz="4000" b="1">
            <a:latin typeface="Segoe UI Semibold" panose="020B0702040204020203" pitchFamily="34" charset="0"/>
            <a:cs typeface="Segoe UI Semibold" panose="020B0702040204020203" pitchFamily="34" charset="0"/>
          </a:endParaRPr>
        </a:p>
      </xdr:txBody>
    </xdr:sp>
    <xdr:clientData/>
  </xdr:twoCellAnchor>
  <xdr:twoCellAnchor>
    <xdr:from>
      <xdr:col>18</xdr:col>
      <xdr:colOff>336176</xdr:colOff>
      <xdr:row>49</xdr:row>
      <xdr:rowOff>136960</xdr:rowOff>
    </xdr:from>
    <xdr:to>
      <xdr:col>24</xdr:col>
      <xdr:colOff>99608</xdr:colOff>
      <xdr:row>81</xdr:row>
      <xdr:rowOff>49804</xdr:rowOff>
    </xdr:to>
    <xdr:sp macro="" textlink="">
      <xdr:nvSpPr>
        <xdr:cNvPr id="3" name="Flowchart: Alternate Process 2">
          <a:extLst>
            <a:ext uri="{FF2B5EF4-FFF2-40B4-BE49-F238E27FC236}">
              <a16:creationId xmlns:a16="http://schemas.microsoft.com/office/drawing/2014/main" id="{065D86D7-C673-9760-4A49-61E102652580}"/>
            </a:ext>
          </a:extLst>
        </xdr:cNvPr>
        <xdr:cNvSpPr/>
      </xdr:nvSpPr>
      <xdr:spPr>
        <a:xfrm>
          <a:off x="16995588" y="3498725"/>
          <a:ext cx="3424020" cy="1780491"/>
        </a:xfrm>
        <a:prstGeom prst="flowChartAlternate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91</xdr:row>
      <xdr:rowOff>0</xdr:rowOff>
    </xdr:from>
    <xdr:to>
      <xdr:col>23</xdr:col>
      <xdr:colOff>112059</xdr:colOff>
      <xdr:row>132</xdr:row>
      <xdr:rowOff>12451</xdr:rowOff>
    </xdr:to>
    <xdr:sp macro="" textlink="">
      <xdr:nvSpPr>
        <xdr:cNvPr id="4" name="Rectangle: Rounded Corners 3">
          <a:extLst>
            <a:ext uri="{FF2B5EF4-FFF2-40B4-BE49-F238E27FC236}">
              <a16:creationId xmlns:a16="http://schemas.microsoft.com/office/drawing/2014/main" id="{EC0DA147-8619-4087-864A-448F62348526}"/>
            </a:ext>
          </a:extLst>
        </xdr:cNvPr>
        <xdr:cNvSpPr/>
      </xdr:nvSpPr>
      <xdr:spPr>
        <a:xfrm>
          <a:off x="16659412" y="6723529"/>
          <a:ext cx="3162549" cy="150656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endParaRPr lang="en-US" sz="4000" b="1" i="0" u="none" strike="noStrike">
            <a:solidFill>
              <a:srgbClr val="000000"/>
            </a:solidFill>
            <a:latin typeface="Segoe UI Semibold" panose="020B0702040204020203" pitchFamily="34" charset="0"/>
            <a:cs typeface="Segoe UI Semibold" panose="020B0702040204020203"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1.466556712963" createdVersion="8" refreshedVersion="8" minRefreshableVersion="3" recordCount="1000" xr:uid="{85C7EA10-FD5F-4DDA-AF0F-98DBBF293B5F}">
  <cacheSource type="worksheet">
    <worksheetSource name="Sheet1"/>
  </cacheSource>
  <cacheFields count="10">
    <cacheField name="Roll_Number" numFmtId="0">
      <sharedItems/>
    </cacheField>
    <cacheField name="Student_Name" numFmtId="0">
      <sharedItems/>
    </cacheField>
    <cacheField name="Branch" numFmtId="0">
      <sharedItems count="6">
        <s v="CIVIL"/>
        <s v="IT"/>
        <s v="MECH"/>
        <s v="CSE"/>
        <s v="ECE"/>
        <s v="EEE"/>
      </sharedItems>
    </cacheField>
    <cacheField name="Attendance " numFmtId="0">
      <sharedItems containsSemiMixedTypes="0" containsString="0" containsNumber="1" minValue="60.01" maxValue="99.91"/>
    </cacheField>
    <cacheField name="Result" numFmtId="0">
      <sharedItems count="2">
        <s v="Pass"/>
        <s v="Fail"/>
      </sharedItems>
    </cacheField>
    <cacheField name="CGPA" numFmtId="0">
      <sharedItems containsSemiMixedTypes="0" containsString="0" containsNumber="1" minValue="5" maxValue="9.8000000000000007"/>
    </cacheField>
    <cacheField name="Studying_year" numFmtId="0">
      <sharedItems/>
    </cacheField>
    <cacheField name="Failed_Most_Sub" numFmtId="0">
      <sharedItems/>
    </cacheField>
    <cacheField name="Condonation_Status" numFmtId="0">
      <sharedItems/>
    </cacheField>
    <cacheField name="Detention_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21.531128703704" backgroundQuery="1" createdVersion="8" refreshedVersion="8" minRefreshableVersion="3" recordCount="0" supportSubquery="1" supportAdvancedDrill="1" xr:uid="{3D63DD49-FB97-4C35-A61C-D2F1DCA6FD37}">
  <cacheSource type="external" connectionId="2"/>
  <cacheFields count="3">
    <cacheField name="[Sheet1].[Studying_year].[Studying_year]" caption="Studying_year" numFmtId="0" hierarchy="6" level="1">
      <sharedItems count="4">
        <s v="1st Year"/>
        <s v="2nd Year"/>
        <s v="3rd Year"/>
        <s v="4th Year"/>
      </sharedItems>
    </cacheField>
    <cacheField name="[Sheet1].[Result].[Result]" caption="Result" numFmtId="0" hierarchy="4" level="1">
      <sharedItems count="2">
        <s v="Pass"/>
        <s v="Fail" u="1"/>
      </sharedItems>
    </cacheField>
    <cacheField name="[Measures].[Count of Result]" caption="Count of Result" numFmtId="0" hierarchy="13" level="32767"/>
  </cacheFields>
  <cacheHierarchies count="14">
    <cacheHierarchy uniqueName="[Sheet1].[Roll_Number]" caption="Roll_Number" attribute="1" defaultMemberUniqueName="[Sheet1].[Roll_Number].[All]" allUniqueName="[Sheet1].[Roll_Number].[All]" dimensionUniqueName="[Sheet1]" displayFolder="" count="0" memberValueDatatype="130" unbalanced="0"/>
    <cacheHierarchy uniqueName="[Sheet1].[Student_Name]" caption="Student_Name" attribute="1" defaultMemberUniqueName="[Sheet1].[Student_Name].[All]" allUniqueName="[Sheet1].[Student_Name].[All]" dimensionUniqueName="[Sheet1]" displayFolder="" count="0" memberValueDatatype="130" unbalanced="0"/>
    <cacheHierarchy uniqueName="[Sheet1].[Branch]" caption="Branch" attribute="1" defaultMemberUniqueName="[Sheet1].[Branch].[All]" allUniqueName="[Sheet1].[Branch].[All]" dimensionUniqueName="[Sheet1]" displayFolder="" count="0" memberValueDatatype="130" unbalanced="0"/>
    <cacheHierarchy uniqueName="[Sheet1].[Attendance]" caption="Attendance" attribute="1" defaultMemberUniqueName="[Sheet1].[Attendance].[All]" allUniqueName="[Sheet1].[Attendance].[All]" dimensionUniqueName="[Sheet1]" displayFolder="" count="0" memberValueDatatype="5" unbalanced="0"/>
    <cacheHierarchy uniqueName="[Sheet1].[Result]" caption="Result" attribute="1" defaultMemberUniqueName="[Sheet1].[Result].[All]" allUniqueName="[Sheet1].[Result].[All]" dimensionUniqueName="[Sheet1]" displayFolder="" count="2" memberValueDatatype="130" unbalanced="0">
      <fieldsUsage count="2">
        <fieldUsage x="-1"/>
        <fieldUsage x="1"/>
      </fieldsUsage>
    </cacheHierarchy>
    <cacheHierarchy uniqueName="[Sheet1].[CGPA]" caption="CGPA" attribute="1" defaultMemberUniqueName="[Sheet1].[CGPA].[All]" allUniqueName="[Sheet1].[CGPA].[All]" dimensionUniqueName="[Sheet1]" displayFolder="" count="0" memberValueDatatype="5" unbalanced="0"/>
    <cacheHierarchy uniqueName="[Sheet1].[Studying_year]" caption="Studying_year" attribute="1" defaultMemberUniqueName="[Sheet1].[Studying_year].[All]" allUniqueName="[Sheet1].[Studying_year].[All]" dimensionUniqueName="[Sheet1]" displayFolder="" count="2" memberValueDatatype="130" unbalanced="0">
      <fieldsUsage count="2">
        <fieldUsage x="-1"/>
        <fieldUsage x="0"/>
      </fieldsUsage>
    </cacheHierarchy>
    <cacheHierarchy uniqueName="[Sheet1].[Failed_Most_Sub]" caption="Failed_Most_Sub" attribute="1" defaultMemberUniqueName="[Sheet1].[Failed_Most_Sub].[All]" allUniqueName="[Sheet1].[Failed_Most_Sub].[All]" dimensionUniqueName="[Sheet1]" displayFolder="" count="0" memberValueDatatype="130" unbalanced="0"/>
    <cacheHierarchy uniqueName="[Sheet1].[Condonation_Status]" caption="Condonation_Status" attribute="1" defaultMemberUniqueName="[Sheet1].[Condonation_Status].[All]" allUniqueName="[Sheet1].[Condonation_Status].[All]" dimensionUniqueName="[Sheet1]" displayFolder="" count="0" memberValueDatatype="130" unbalanced="0"/>
    <cacheHierarchy uniqueName="[Sheet1].[Detention_Status]" caption="Detention_Status" attribute="1" defaultMemberUniqueName="[Sheet1].[Detention_Status].[All]" allUniqueName="[Sheet1].[Detention_Status].[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Result]" caption="Count of Result" measure="1" displayFolder="" measureGroup="Sheet1"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3.244337962962" createdVersion="8" refreshedVersion="8" minRefreshableVersion="3" recordCount="1002" xr:uid="{39A72C85-3515-4DBD-948D-A424673A4B36}">
  <cacheSource type="worksheet">
    <worksheetSource name="Sheet1"/>
  </cacheSource>
  <cacheFields count="12">
    <cacheField name="Roll_Number" numFmtId="0">
      <sharedItems containsBlank="1"/>
    </cacheField>
    <cacheField name="Student_Name" numFmtId="0">
      <sharedItems containsBlank="1"/>
    </cacheField>
    <cacheField name="Branch" numFmtId="0">
      <sharedItems containsBlank="1" count="7">
        <s v="CIVIL"/>
        <s v="IT"/>
        <s v="MECH"/>
        <s v="CSE"/>
        <s v="ECE"/>
        <s v="EEE"/>
        <m/>
      </sharedItems>
    </cacheField>
    <cacheField name="Attendance " numFmtId="0">
      <sharedItems containsString="0" containsBlank="1" containsNumber="1" minValue="60.01" maxValue="99.91"/>
    </cacheField>
    <cacheField name="Result" numFmtId="0">
      <sharedItems containsBlank="1" count="3">
        <s v="Pass"/>
        <s v="Fail"/>
        <m/>
      </sharedItems>
    </cacheField>
    <cacheField name="CGPA" numFmtId="0">
      <sharedItems containsString="0" containsBlank="1" containsNumber="1" minValue="5" maxValue="9.8000000000000007"/>
    </cacheField>
    <cacheField name="Studying_year" numFmtId="0">
      <sharedItems containsBlank="1" count="5">
        <s v="2nd Year"/>
        <s v="1st Year"/>
        <s v="4th Year"/>
        <s v="3rd Year"/>
        <m/>
      </sharedItems>
    </cacheField>
    <cacheField name="Failed_Most_Sub" numFmtId="0">
      <sharedItems count="6">
        <s v="Passed"/>
        <s v="M1"/>
        <s v="DBMS"/>
        <s v="Deep Learning"/>
        <s v="Machine Learning"/>
        <s v=""/>
      </sharedItems>
    </cacheField>
    <cacheField name="Condonation_Status" numFmtId="0">
      <sharedItems containsBlank="1" count="3">
        <s v="No"/>
        <s v="Yes"/>
        <m/>
      </sharedItems>
    </cacheField>
    <cacheField name="Detention_Status" numFmtId="0">
      <sharedItems containsBlank="1" count="3">
        <s v="No"/>
        <s v="Yes"/>
        <m/>
      </sharedItems>
    </cacheField>
    <cacheField name="Location" numFmtId="0">
      <sharedItems containsBlank="1" count="18">
        <m/>
        <s v="Rayachoti"/>
        <s v="Nellore"/>
        <s v="Chittoor,&quot;Madanapalli&quot;,&quot;Rajampeta&quot;,&quot;Tirupati&quot;)"/>
        <s v="Madanapalli"/>
        <s v="Kadapa"/>
        <s v="Tirupati"/>
        <s v="Rajampeta"/>
        <s v="Ananthapur"/>
        <s v="Chittoor"/>
        <s v="Rayachoti, Andhra Pradesh, India" u="1"/>
        <s v="Nellore, Andhra Pradesh, India" u="1"/>
        <s v="Madanapalli, Andhra Pradesh, India" u="1"/>
        <s v="Kadapa, Andhra Pradesh, India" u="1"/>
        <s v="Tirupati, Andhra Pradesh, India" u="1"/>
        <s v="Rajampeta, Andhra Pradesh, India" u="1"/>
        <s v="Ananthapur, Andhra Pradesh, India" u="1"/>
        <s v="Chittoor, Andhra Pradesh, India" u="1"/>
      </sharedItems>
    </cacheField>
    <cacheField name="Placements" numFmtId="0">
      <sharedItems containsBlank="1"/>
    </cacheField>
  </cacheFields>
  <extLst>
    <ext xmlns:x14="http://schemas.microsoft.com/office/spreadsheetml/2009/9/main" uri="{725AE2AE-9491-48be-B2B4-4EB974FC3084}">
      <x14:pivotCacheDefinition pivotCacheId="10623445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22781A3200"/>
    <s v="Rahul"/>
    <x v="0"/>
    <n v="90.85"/>
    <x v="0"/>
    <n v="5.72"/>
    <s v="2nd Year"/>
    <s v="Passed"/>
    <s v="No"/>
    <s v="No"/>
  </r>
  <r>
    <s v="23781A3200"/>
    <s v="Saneeth"/>
    <x v="1"/>
    <n v="88.84"/>
    <x v="1"/>
    <n v="8.67"/>
    <s v="1st Year"/>
    <s v="M1"/>
    <s v="No"/>
    <s v="No"/>
  </r>
  <r>
    <s v="22781A3201"/>
    <s v="Anjali"/>
    <x v="2"/>
    <n v="69.05"/>
    <x v="0"/>
    <n v="6.26"/>
    <s v="2nd Year"/>
    <s v="Passed"/>
    <s v="Yes"/>
    <s v="No"/>
  </r>
  <r>
    <s v="23781A3201"/>
    <s v="Suresh"/>
    <x v="1"/>
    <n v="65.099999999999994"/>
    <x v="0"/>
    <n v="5.18"/>
    <s v="1st Year"/>
    <s v="Passed"/>
    <s v="Yes"/>
    <s v="No"/>
  </r>
  <r>
    <s v="23781A3202"/>
    <s v="Pavan"/>
    <x v="2"/>
    <n v="77.52"/>
    <x v="0"/>
    <n v="8.27"/>
    <s v="1st Year"/>
    <s v="Passed"/>
    <s v="No"/>
    <s v="No"/>
  </r>
  <r>
    <s v="22781A3202"/>
    <s v="Lokesh"/>
    <x v="3"/>
    <n v="73.13"/>
    <x v="1"/>
    <n v="6.56"/>
    <s v="2nd Year"/>
    <s v="DBMS"/>
    <s v="Yes"/>
    <s v="No"/>
  </r>
  <r>
    <s v="23781A3203"/>
    <s v="Kavya"/>
    <x v="4"/>
    <n v="82.56"/>
    <x v="0"/>
    <n v="7.15"/>
    <s v="1st Year"/>
    <s v="Passed"/>
    <s v="No"/>
    <s v="No"/>
  </r>
  <r>
    <s v="20781A3200"/>
    <s v="Lakshmi"/>
    <x v="3"/>
    <n v="61.53"/>
    <x v="0"/>
    <n v="8.76"/>
    <s v="4th Year"/>
    <s v="Passed"/>
    <s v="No"/>
    <s v="Yes"/>
  </r>
  <r>
    <s v="21781A3200"/>
    <s v="Kavya"/>
    <x v="1"/>
    <n v="74.72"/>
    <x v="0"/>
    <n v="5.97"/>
    <s v="3rd Year"/>
    <s v="Passed"/>
    <s v="Yes"/>
    <s v="No"/>
  </r>
  <r>
    <s v="22781A3203"/>
    <s v="Harini"/>
    <x v="1"/>
    <n v="90.24"/>
    <x v="0"/>
    <n v="8.51"/>
    <s v="2nd Year"/>
    <s v="Passed"/>
    <s v="No"/>
    <s v="No"/>
  </r>
  <r>
    <s v="22781A3204"/>
    <s v="Manoj"/>
    <x v="1"/>
    <n v="68.02"/>
    <x v="0"/>
    <n v="8.35"/>
    <s v="2nd Year"/>
    <s v="Passed"/>
    <s v="Yes"/>
    <s v="No"/>
  </r>
  <r>
    <s v="21781A3201"/>
    <s v="Swathi"/>
    <x v="5"/>
    <n v="78"/>
    <x v="0"/>
    <n v="9.07"/>
    <s v="3rd Year"/>
    <s v="Passed"/>
    <s v="No"/>
    <s v="No"/>
  </r>
  <r>
    <s v="20781A3201"/>
    <s v="Deepika"/>
    <x v="2"/>
    <n v="81.760000000000005"/>
    <x v="0"/>
    <n v="6.66"/>
    <s v="4th Year"/>
    <s v="Passed"/>
    <s v="No"/>
    <s v="No"/>
  </r>
  <r>
    <s v="22781A3205"/>
    <s v="Rohit"/>
    <x v="3"/>
    <n v="70.3"/>
    <x v="0"/>
    <n v="6.46"/>
    <s v="2nd Year"/>
    <s v="Passed"/>
    <s v="Yes"/>
    <s v="No"/>
  </r>
  <r>
    <s v="21781A3202"/>
    <s v="Suresh"/>
    <x v="0"/>
    <n v="86.68"/>
    <x v="0"/>
    <n v="9.08"/>
    <s v="3rd Year"/>
    <s v="Passed"/>
    <s v="No"/>
    <s v="No"/>
  </r>
  <r>
    <s v="20781A3202"/>
    <s v="Harini"/>
    <x v="1"/>
    <n v="68.25"/>
    <x v="0"/>
    <n v="8.6"/>
    <s v="4th Year"/>
    <s v="Passed"/>
    <s v="Yes"/>
    <s v="No"/>
  </r>
  <r>
    <s v="23781A3204"/>
    <s v="Nikhil"/>
    <x v="5"/>
    <n v="62.95"/>
    <x v="1"/>
    <n v="8.69"/>
    <s v="1st Year"/>
    <s v="M1"/>
    <s v="No"/>
    <s v="Yes"/>
  </r>
  <r>
    <s v="21781A3203"/>
    <s v="Bhavya"/>
    <x v="3"/>
    <n v="78.7"/>
    <x v="0"/>
    <n v="7.04"/>
    <s v="3rd Year"/>
    <s v="Passed"/>
    <s v="No"/>
    <s v="No"/>
  </r>
  <r>
    <s v="21781A3204"/>
    <s v="Lokesh"/>
    <x v="4"/>
    <n v="89.76"/>
    <x v="0"/>
    <n v="8.0399999999999991"/>
    <s v="3rd Year"/>
    <s v="Passed"/>
    <s v="No"/>
    <s v="No"/>
  </r>
  <r>
    <s v="20781A3203"/>
    <s v="Bhavya"/>
    <x v="2"/>
    <n v="86.41"/>
    <x v="0"/>
    <n v="5.31"/>
    <s v="4th Year"/>
    <s v="Passed"/>
    <s v="No"/>
    <s v="No"/>
  </r>
  <r>
    <s v="20781A3204"/>
    <s v="Rahul"/>
    <x v="2"/>
    <n v="62.78"/>
    <x v="0"/>
    <n v="7.91"/>
    <s v="4th Year"/>
    <s v="Passed"/>
    <s v="No"/>
    <s v="Yes"/>
  </r>
  <r>
    <s v="20781A3205"/>
    <s v="Bhavya"/>
    <x v="3"/>
    <n v="89.95"/>
    <x v="0"/>
    <n v="9.3000000000000007"/>
    <s v="4th Year"/>
    <s v="Passed"/>
    <s v="No"/>
    <s v="No"/>
  </r>
  <r>
    <s v="20781A3206"/>
    <s v="Tejaswini"/>
    <x v="4"/>
    <n v="71.47"/>
    <x v="0"/>
    <n v="8.36"/>
    <s v="4th Year"/>
    <s v="Passed"/>
    <s v="Yes"/>
    <s v="No"/>
  </r>
  <r>
    <s v="20781A3207"/>
    <s v="Rohit"/>
    <x v="1"/>
    <n v="60.73"/>
    <x v="0"/>
    <n v="7.2"/>
    <s v="4th Year"/>
    <s v="Passed"/>
    <s v="No"/>
    <s v="Yes"/>
  </r>
  <r>
    <s v="22781A3206"/>
    <s v="Lakshmi"/>
    <x v="1"/>
    <n v="85.33"/>
    <x v="0"/>
    <n v="7.09"/>
    <s v="2nd Year"/>
    <s v="Passed"/>
    <s v="No"/>
    <s v="No"/>
  </r>
  <r>
    <s v="23781A3205"/>
    <s v="Saneeth"/>
    <x v="5"/>
    <n v="70.16"/>
    <x v="0"/>
    <n v="5.91"/>
    <s v="1st Year"/>
    <s v="Passed"/>
    <s v="Yes"/>
    <s v="No"/>
  </r>
  <r>
    <s v="23781A3206"/>
    <s v="Rahul"/>
    <x v="1"/>
    <n v="77"/>
    <x v="1"/>
    <n v="7.98"/>
    <s v="1st Year"/>
    <s v="M1"/>
    <s v="No"/>
    <s v="No"/>
  </r>
  <r>
    <s v="21781A3205"/>
    <s v="Harini"/>
    <x v="2"/>
    <n v="94.97"/>
    <x v="0"/>
    <n v="7.87"/>
    <s v="3rd Year"/>
    <s v="Passed"/>
    <s v="No"/>
    <s v="No"/>
  </r>
  <r>
    <s v="23781A3207"/>
    <s v="Sindhu"/>
    <x v="5"/>
    <n v="62.84"/>
    <x v="0"/>
    <n v="5.38"/>
    <s v="1st Year"/>
    <s v="Passed"/>
    <s v="No"/>
    <s v="Yes"/>
  </r>
  <r>
    <s v="20781A3208"/>
    <s v="Tejaswini"/>
    <x v="1"/>
    <n v="62.05"/>
    <x v="1"/>
    <n v="8.2899999999999991"/>
    <s v="4th Year"/>
    <s v="Deep Learning"/>
    <s v="No"/>
    <s v="Yes"/>
  </r>
  <r>
    <s v="22781A3207"/>
    <s v="Srinivas"/>
    <x v="3"/>
    <n v="70.61"/>
    <x v="1"/>
    <n v="9.2899999999999991"/>
    <s v="2nd Year"/>
    <s v="DBMS"/>
    <s v="Yes"/>
    <s v="No"/>
  </r>
  <r>
    <s v="23781A3208"/>
    <s v="Mahesh"/>
    <x v="3"/>
    <n v="70.77"/>
    <x v="1"/>
    <n v="5.71"/>
    <s v="1st Year"/>
    <s v="M1"/>
    <s v="Yes"/>
    <s v="No"/>
  </r>
  <r>
    <s v="21781A3206"/>
    <s v="Srinivas"/>
    <x v="0"/>
    <n v="77.81"/>
    <x v="0"/>
    <n v="8.64"/>
    <s v="3rd Year"/>
    <s v="Passed"/>
    <s v="No"/>
    <s v="No"/>
  </r>
  <r>
    <s v="20781A3209"/>
    <s v="Sindhu"/>
    <x v="2"/>
    <n v="63.53"/>
    <x v="0"/>
    <n v="5.26"/>
    <s v="4th Year"/>
    <s v="Passed"/>
    <s v="No"/>
    <s v="Yes"/>
  </r>
  <r>
    <s v="22781A3208"/>
    <s v="Pavan"/>
    <x v="4"/>
    <n v="70.430000000000007"/>
    <x v="0"/>
    <n v="6.44"/>
    <s v="2nd Year"/>
    <s v="Passed"/>
    <s v="Yes"/>
    <s v="No"/>
  </r>
  <r>
    <s v="23781A3209"/>
    <s v="Tejaswini"/>
    <x v="4"/>
    <n v="79.12"/>
    <x v="0"/>
    <n v="7.25"/>
    <s v="1st Year"/>
    <s v="Passed"/>
    <s v="No"/>
    <s v="No"/>
  </r>
  <r>
    <s v="21781A3207"/>
    <s v="Bhavya"/>
    <x v="0"/>
    <n v="68.400000000000006"/>
    <x v="0"/>
    <n v="6.93"/>
    <s v="3rd Year"/>
    <s v="Passed"/>
    <s v="Yes"/>
    <s v="No"/>
  </r>
  <r>
    <s v="22781A3209"/>
    <s v="Priya"/>
    <x v="1"/>
    <n v="79.98"/>
    <x v="0"/>
    <n v="7.59"/>
    <s v="2nd Year"/>
    <s v="Passed"/>
    <s v="No"/>
    <s v="No"/>
  </r>
  <r>
    <s v="20781A3210"/>
    <s v="Chaitanya"/>
    <x v="5"/>
    <n v="73.739999999999995"/>
    <x v="1"/>
    <n v="7.42"/>
    <s v="4th Year"/>
    <s v="Deep Learning"/>
    <s v="Yes"/>
    <s v="No"/>
  </r>
  <r>
    <s v="21781A3208"/>
    <s v="Lokesh"/>
    <x v="0"/>
    <n v="89.77"/>
    <x v="0"/>
    <n v="9.67"/>
    <s v="3rd Year"/>
    <s v="Passed"/>
    <s v="No"/>
    <s v="No"/>
  </r>
  <r>
    <s v="21781A3209"/>
    <s v="Anjali"/>
    <x v="3"/>
    <n v="85.78"/>
    <x v="0"/>
    <n v="8.6"/>
    <s v="3rd Year"/>
    <s v="Passed"/>
    <s v="No"/>
    <s v="No"/>
  </r>
  <r>
    <s v="23781A3210"/>
    <s v="Kavya"/>
    <x v="5"/>
    <n v="66.92"/>
    <x v="0"/>
    <n v="7.48"/>
    <s v="1st Year"/>
    <s v="Passed"/>
    <s v="Yes"/>
    <s v="No"/>
  </r>
  <r>
    <s v="21781A3210"/>
    <s v="Kiran"/>
    <x v="5"/>
    <n v="81.8"/>
    <x v="0"/>
    <n v="7.17"/>
    <s v="3rd Year"/>
    <s v="Passed"/>
    <s v="No"/>
    <s v="No"/>
  </r>
  <r>
    <s v="23781A3211"/>
    <s v="Mahesh"/>
    <x v="5"/>
    <n v="78.45"/>
    <x v="0"/>
    <n v="7.99"/>
    <s v="1st Year"/>
    <s v="Passed"/>
    <s v="No"/>
    <s v="No"/>
  </r>
  <r>
    <s v="20781A3211"/>
    <s v="Anjali"/>
    <x v="5"/>
    <n v="95.76"/>
    <x v="0"/>
    <n v="7.69"/>
    <s v="4th Year"/>
    <s v="Passed"/>
    <s v="No"/>
    <s v="No"/>
  </r>
  <r>
    <s v="22781A3210"/>
    <s v="Kavya"/>
    <x v="0"/>
    <n v="73.2"/>
    <x v="0"/>
    <n v="6.4"/>
    <s v="2nd Year"/>
    <s v="Passed"/>
    <s v="Yes"/>
    <s v="No"/>
  </r>
  <r>
    <s v="20781A3212"/>
    <s v="Deepika"/>
    <x v="1"/>
    <n v="89.59"/>
    <x v="0"/>
    <n v="6.77"/>
    <s v="4th Year"/>
    <s v="Passed"/>
    <s v="No"/>
    <s v="No"/>
  </r>
  <r>
    <s v="20781A3213"/>
    <s v="Swathi"/>
    <x v="2"/>
    <n v="65.86"/>
    <x v="0"/>
    <n v="5.88"/>
    <s v="4th Year"/>
    <s v="Passed"/>
    <s v="Yes"/>
    <s v="No"/>
  </r>
  <r>
    <s v="20781A3214"/>
    <s v="Pavan"/>
    <x v="3"/>
    <n v="73.680000000000007"/>
    <x v="0"/>
    <n v="7.49"/>
    <s v="4th Year"/>
    <s v="Passed"/>
    <s v="Yes"/>
    <s v="No"/>
  </r>
  <r>
    <s v="22781A3211"/>
    <s v="Kiran"/>
    <x v="1"/>
    <n v="78.25"/>
    <x v="0"/>
    <n v="8.94"/>
    <s v="2nd Year"/>
    <s v="Passed"/>
    <s v="No"/>
    <s v="No"/>
  </r>
  <r>
    <s v="23781A3212"/>
    <s v="Manoj"/>
    <x v="5"/>
    <n v="86.86"/>
    <x v="0"/>
    <n v="5.96"/>
    <s v="1st Year"/>
    <s v="Passed"/>
    <s v="No"/>
    <s v="No"/>
  </r>
  <r>
    <s v="21781A3211"/>
    <s v="Kiran"/>
    <x v="1"/>
    <n v="91.8"/>
    <x v="0"/>
    <n v="5.39"/>
    <s v="3rd Year"/>
    <s v="Passed"/>
    <s v="No"/>
    <s v="No"/>
  </r>
  <r>
    <s v="21781A3212"/>
    <s v="Raghava"/>
    <x v="3"/>
    <n v="83.2"/>
    <x v="0"/>
    <n v="5.68"/>
    <s v="3rd Year"/>
    <s v="Passed"/>
    <s v="No"/>
    <s v="No"/>
  </r>
  <r>
    <s v="23781A3213"/>
    <s v="Tejaswini"/>
    <x v="5"/>
    <n v="74.28"/>
    <x v="0"/>
    <n v="6.72"/>
    <s v="1st Year"/>
    <s v="Passed"/>
    <s v="Yes"/>
    <s v="No"/>
  </r>
  <r>
    <s v="21781A3213"/>
    <s v="Srinivas"/>
    <x v="4"/>
    <n v="79.099999999999994"/>
    <x v="0"/>
    <n v="8.31"/>
    <s v="3rd Year"/>
    <s v="Passed"/>
    <s v="No"/>
    <s v="No"/>
  </r>
  <r>
    <s v="23781A3214"/>
    <s v="Bhavya"/>
    <x v="3"/>
    <n v="65.06"/>
    <x v="1"/>
    <n v="6.35"/>
    <s v="1st Year"/>
    <s v="M1"/>
    <s v="Yes"/>
    <s v="No"/>
  </r>
  <r>
    <s v="21781A3214"/>
    <s v="Swathi"/>
    <x v="1"/>
    <n v="64.59"/>
    <x v="0"/>
    <n v="6.89"/>
    <s v="3rd Year"/>
    <s v="Passed"/>
    <s v="No"/>
    <s v="Yes"/>
  </r>
  <r>
    <s v="22781A3212"/>
    <s v="Anjali"/>
    <x v="4"/>
    <n v="83.76"/>
    <x v="0"/>
    <n v="7.87"/>
    <s v="2nd Year"/>
    <s v="Passed"/>
    <s v="No"/>
    <s v="No"/>
  </r>
  <r>
    <s v="23781A3215"/>
    <s v="Raghava"/>
    <x v="5"/>
    <n v="99.83"/>
    <x v="0"/>
    <n v="9.7100000000000009"/>
    <s v="1st Year"/>
    <s v="Passed"/>
    <s v="No"/>
    <s v="No"/>
  </r>
  <r>
    <s v="23781A3216"/>
    <s v="Lokesh"/>
    <x v="1"/>
    <n v="96.83"/>
    <x v="0"/>
    <n v="8.86"/>
    <s v="1st Year"/>
    <s v="Passed"/>
    <s v="No"/>
    <s v="No"/>
  </r>
  <r>
    <s v="21781A3215"/>
    <s v="Manoj"/>
    <x v="4"/>
    <n v="90.94"/>
    <x v="1"/>
    <n v="8.9600000000000009"/>
    <s v="3rd Year"/>
    <s v="Machine Learning"/>
    <s v="No"/>
    <s v="No"/>
  </r>
  <r>
    <s v="20781A3215"/>
    <s v="Praveen"/>
    <x v="3"/>
    <n v="69.510000000000005"/>
    <x v="0"/>
    <n v="5.69"/>
    <s v="4th Year"/>
    <s v="Passed"/>
    <s v="Yes"/>
    <s v="No"/>
  </r>
  <r>
    <s v="23781A3217"/>
    <s v="Nikhil"/>
    <x v="1"/>
    <n v="70.17"/>
    <x v="0"/>
    <n v="6.41"/>
    <s v="1st Year"/>
    <s v="Passed"/>
    <s v="Yes"/>
    <s v="No"/>
  </r>
  <r>
    <s v="21781A3216"/>
    <s v="Bhavya"/>
    <x v="5"/>
    <n v="75.150000000000006"/>
    <x v="1"/>
    <n v="7.85"/>
    <s v="3rd Year"/>
    <s v="Machine Learning"/>
    <s v="No"/>
    <s v="No"/>
  </r>
  <r>
    <s v="22781A3213"/>
    <s v="Pavan"/>
    <x v="4"/>
    <n v="70.2"/>
    <x v="0"/>
    <n v="5.94"/>
    <s v="2nd Year"/>
    <s v="Passed"/>
    <s v="Yes"/>
    <s v="No"/>
  </r>
  <r>
    <s v="23781A3218"/>
    <s v="Vamsi"/>
    <x v="3"/>
    <n v="65.790000000000006"/>
    <x v="0"/>
    <n v="6.58"/>
    <s v="1st Year"/>
    <s v="Passed"/>
    <s v="Yes"/>
    <s v="No"/>
  </r>
  <r>
    <s v="21781A3217"/>
    <s v="Kavya"/>
    <x v="5"/>
    <n v="66.77"/>
    <x v="0"/>
    <n v="7.38"/>
    <s v="3rd Year"/>
    <s v="Passed"/>
    <s v="Yes"/>
    <s v="No"/>
  </r>
  <r>
    <s v="22781A3214"/>
    <s v="Mahesh"/>
    <x v="5"/>
    <n v="95.1"/>
    <x v="0"/>
    <n v="6.33"/>
    <s v="2nd Year"/>
    <s v="Passed"/>
    <s v="No"/>
    <s v="No"/>
  </r>
  <r>
    <s v="20781A3216"/>
    <s v="Akhila"/>
    <x v="2"/>
    <n v="81.45"/>
    <x v="0"/>
    <n v="5.55"/>
    <s v="4th Year"/>
    <s v="Passed"/>
    <s v="No"/>
    <s v="No"/>
  </r>
  <r>
    <s v="21781A3218"/>
    <s v="Harini"/>
    <x v="3"/>
    <n v="94.87"/>
    <x v="0"/>
    <n v="8.8699999999999992"/>
    <s v="3rd Year"/>
    <s v="Passed"/>
    <s v="No"/>
    <s v="No"/>
  </r>
  <r>
    <s v="20781A3217"/>
    <s v="Sumalatha"/>
    <x v="4"/>
    <n v="89.85"/>
    <x v="1"/>
    <n v="7.8"/>
    <s v="4th Year"/>
    <s v="Deep Learning"/>
    <s v="No"/>
    <s v="No"/>
  </r>
  <r>
    <s v="21781A3219"/>
    <s v="Nikhil"/>
    <x v="2"/>
    <n v="95.54"/>
    <x v="0"/>
    <n v="5.0999999999999996"/>
    <s v="3rd Year"/>
    <s v="Passed"/>
    <s v="No"/>
    <s v="No"/>
  </r>
  <r>
    <s v="20781A3218"/>
    <s v="Mahesh"/>
    <x v="4"/>
    <n v="82.37"/>
    <x v="0"/>
    <n v="8.1"/>
    <s v="4th Year"/>
    <s v="Passed"/>
    <s v="No"/>
    <s v="No"/>
  </r>
  <r>
    <s v="23781A3219"/>
    <s v="Praveen"/>
    <x v="1"/>
    <n v="68.39"/>
    <x v="0"/>
    <n v="7.11"/>
    <s v="1st Year"/>
    <s v="Passed"/>
    <s v="Yes"/>
    <s v="No"/>
  </r>
  <r>
    <s v="21781A3220"/>
    <s v="Priya"/>
    <x v="2"/>
    <n v="88.56"/>
    <x v="0"/>
    <n v="8.99"/>
    <s v="3rd Year"/>
    <s v="Passed"/>
    <s v="No"/>
    <s v="No"/>
  </r>
  <r>
    <s v="23781A3220"/>
    <s v="Divya"/>
    <x v="2"/>
    <n v="78.53"/>
    <x v="0"/>
    <n v="8.48"/>
    <s v="1st Year"/>
    <s v="Passed"/>
    <s v="No"/>
    <s v="No"/>
  </r>
  <r>
    <s v="23781A3221"/>
    <s v="Akhila"/>
    <x v="5"/>
    <n v="66.099999999999994"/>
    <x v="0"/>
    <n v="7.79"/>
    <s v="1st Year"/>
    <s v="Passed"/>
    <s v="Yes"/>
    <s v="No"/>
  </r>
  <r>
    <s v="22781A3215"/>
    <s v="Mahesh"/>
    <x v="5"/>
    <n v="99.76"/>
    <x v="0"/>
    <n v="7"/>
    <s v="2nd Year"/>
    <s v="Passed"/>
    <s v="No"/>
    <s v="No"/>
  </r>
  <r>
    <s v="20781A3219"/>
    <s v="Nikhil"/>
    <x v="5"/>
    <n v="84.44"/>
    <x v="0"/>
    <n v="6.71"/>
    <s v="4th Year"/>
    <s v="Passed"/>
    <s v="No"/>
    <s v="No"/>
  </r>
  <r>
    <s v="21781A3221"/>
    <s v="Srinivas"/>
    <x v="2"/>
    <n v="76.16"/>
    <x v="0"/>
    <n v="7.21"/>
    <s v="3rd Year"/>
    <s v="Passed"/>
    <s v="No"/>
    <s v="No"/>
  </r>
  <r>
    <s v="20781A3220"/>
    <s v="Rahul"/>
    <x v="1"/>
    <n v="72.8"/>
    <x v="0"/>
    <n v="6.3"/>
    <s v="4th Year"/>
    <s v="Passed"/>
    <s v="Yes"/>
    <s v="No"/>
  </r>
  <r>
    <s v="23781A3222"/>
    <s v="Harini"/>
    <x v="5"/>
    <n v="73.81"/>
    <x v="0"/>
    <n v="9.19"/>
    <s v="1st Year"/>
    <s v="Passed"/>
    <s v="Yes"/>
    <s v="No"/>
  </r>
  <r>
    <s v="20781A3221"/>
    <s v="Chaitanya"/>
    <x v="5"/>
    <n v="97.39"/>
    <x v="0"/>
    <n v="5.0599999999999996"/>
    <s v="4th Year"/>
    <s v="Passed"/>
    <s v="No"/>
    <s v="No"/>
  </r>
  <r>
    <s v="22781A3216"/>
    <s v="Lakshmi"/>
    <x v="5"/>
    <n v="69.55"/>
    <x v="0"/>
    <n v="9.74"/>
    <s v="2nd Year"/>
    <s v="Passed"/>
    <s v="Yes"/>
    <s v="No"/>
  </r>
  <r>
    <s v="22781A3217"/>
    <s v="Chaitanya"/>
    <x v="3"/>
    <n v="65.36"/>
    <x v="0"/>
    <n v="6.88"/>
    <s v="2nd Year"/>
    <s v="Passed"/>
    <s v="Yes"/>
    <s v="No"/>
  </r>
  <r>
    <s v="21781A3222"/>
    <s v="Chaitanya"/>
    <x v="1"/>
    <n v="70.930000000000007"/>
    <x v="0"/>
    <n v="5.27"/>
    <s v="3rd Year"/>
    <s v="Passed"/>
    <s v="Yes"/>
    <s v="No"/>
  </r>
  <r>
    <s v="22781A3218"/>
    <s v="Deepika"/>
    <x v="2"/>
    <n v="69.22"/>
    <x v="0"/>
    <n v="5.23"/>
    <s v="2nd Year"/>
    <s v="Passed"/>
    <s v="Yes"/>
    <s v="No"/>
  </r>
  <r>
    <s v="21781A3223"/>
    <s v="Kavya"/>
    <x v="2"/>
    <n v="77.27"/>
    <x v="0"/>
    <n v="8.83"/>
    <s v="3rd Year"/>
    <s v="Passed"/>
    <s v="No"/>
    <s v="No"/>
  </r>
  <r>
    <s v="20781A3222"/>
    <s v="Nikhil"/>
    <x v="2"/>
    <n v="68.33"/>
    <x v="0"/>
    <n v="7.95"/>
    <s v="4th Year"/>
    <s v="Passed"/>
    <s v="Yes"/>
    <s v="No"/>
  </r>
  <r>
    <s v="20781A3223"/>
    <s v="Sindhu"/>
    <x v="3"/>
    <n v="71.42"/>
    <x v="0"/>
    <n v="9.1999999999999993"/>
    <s v="4th Year"/>
    <s v="Passed"/>
    <s v="Yes"/>
    <s v="No"/>
  </r>
  <r>
    <s v="21781A3224"/>
    <s v="Bhavya"/>
    <x v="1"/>
    <n v="65.680000000000007"/>
    <x v="0"/>
    <n v="9.5299999999999994"/>
    <s v="3rd Year"/>
    <s v="Passed"/>
    <s v="Yes"/>
    <s v="No"/>
  </r>
  <r>
    <s v="22781A3219"/>
    <s v="Harini"/>
    <x v="3"/>
    <n v="76.05"/>
    <x v="0"/>
    <n v="7.8"/>
    <s v="2nd Year"/>
    <s v="Passed"/>
    <s v="No"/>
    <s v="No"/>
  </r>
  <r>
    <s v="21781A3225"/>
    <s v="Suresh"/>
    <x v="3"/>
    <n v="79.069999999999993"/>
    <x v="0"/>
    <n v="9.64"/>
    <s v="3rd Year"/>
    <s v="Passed"/>
    <s v="No"/>
    <s v="No"/>
  </r>
  <r>
    <s v="23781A3223"/>
    <s v="Deepika"/>
    <x v="4"/>
    <n v="96.48"/>
    <x v="0"/>
    <n v="7.68"/>
    <s v="1st Year"/>
    <s v="Passed"/>
    <s v="No"/>
    <s v="No"/>
  </r>
  <r>
    <s v="21781A3226"/>
    <s v="Chaitanya"/>
    <x v="0"/>
    <n v="96.07"/>
    <x v="0"/>
    <n v="5.0199999999999996"/>
    <s v="3rd Year"/>
    <s v="Passed"/>
    <s v="No"/>
    <s v="No"/>
  </r>
  <r>
    <s v="20781A3224"/>
    <s v="Raghava"/>
    <x v="1"/>
    <n v="61.88"/>
    <x v="0"/>
    <n v="5.92"/>
    <s v="4th Year"/>
    <s v="Passed"/>
    <s v="No"/>
    <s v="Yes"/>
  </r>
  <r>
    <s v="22781A3220"/>
    <s v="Kiran"/>
    <x v="3"/>
    <n v="64.27"/>
    <x v="0"/>
    <n v="8.3800000000000008"/>
    <s v="2nd Year"/>
    <s v="Passed"/>
    <s v="No"/>
    <s v="Yes"/>
  </r>
  <r>
    <s v="23781A3224"/>
    <s v="Chaitanya"/>
    <x v="3"/>
    <n v="67.92"/>
    <x v="0"/>
    <n v="6.23"/>
    <s v="1st Year"/>
    <s v="Passed"/>
    <s v="Yes"/>
    <s v="No"/>
  </r>
  <r>
    <s v="20781A3225"/>
    <s v="Sindhu"/>
    <x v="3"/>
    <n v="98.63"/>
    <x v="0"/>
    <n v="6.82"/>
    <s v="4th Year"/>
    <s v="Passed"/>
    <s v="No"/>
    <s v="No"/>
  </r>
  <r>
    <s v="20781A3226"/>
    <s v="Raghava"/>
    <x v="4"/>
    <n v="60.34"/>
    <x v="0"/>
    <n v="7"/>
    <s v="4th Year"/>
    <s v="Passed"/>
    <s v="No"/>
    <s v="Yes"/>
  </r>
  <r>
    <s v="23781A3225"/>
    <s v="Sindhu"/>
    <x v="5"/>
    <n v="95.3"/>
    <x v="0"/>
    <n v="7.32"/>
    <s v="1st Year"/>
    <s v="Passed"/>
    <s v="No"/>
    <s v="No"/>
  </r>
  <r>
    <s v="23781A3226"/>
    <s v="Anjali"/>
    <x v="0"/>
    <n v="91.12"/>
    <x v="0"/>
    <n v="7.68"/>
    <s v="1st Year"/>
    <s v="Passed"/>
    <s v="No"/>
    <s v="No"/>
  </r>
  <r>
    <s v="23781A3227"/>
    <s v="Pavan"/>
    <x v="0"/>
    <n v="88.15"/>
    <x v="1"/>
    <n v="9.75"/>
    <s v="1st Year"/>
    <s v="M1"/>
    <s v="No"/>
    <s v="No"/>
  </r>
  <r>
    <s v="22781A3221"/>
    <s v="Bhavya"/>
    <x v="5"/>
    <n v="94.43"/>
    <x v="0"/>
    <n v="7.45"/>
    <s v="2nd Year"/>
    <s v="Passed"/>
    <s v="No"/>
    <s v="No"/>
  </r>
  <r>
    <s v="22781A3222"/>
    <s v="Nikhil"/>
    <x v="1"/>
    <n v="78.5"/>
    <x v="0"/>
    <n v="8.49"/>
    <s v="2nd Year"/>
    <s v="Passed"/>
    <s v="No"/>
    <s v="No"/>
  </r>
  <r>
    <s v="22781A3223"/>
    <s v="Priya"/>
    <x v="4"/>
    <n v="62.53"/>
    <x v="1"/>
    <n v="6.05"/>
    <s v="2nd Year"/>
    <s v="DBMS"/>
    <s v="No"/>
    <s v="Yes"/>
  </r>
  <r>
    <s v="21781A3227"/>
    <s v="Mahesh"/>
    <x v="5"/>
    <n v="91.6"/>
    <x v="0"/>
    <n v="8.06"/>
    <s v="3rd Year"/>
    <s v="Passed"/>
    <s v="No"/>
    <s v="No"/>
  </r>
  <r>
    <s v="20781A3227"/>
    <s v="Keerthi"/>
    <x v="1"/>
    <n v="97.61"/>
    <x v="0"/>
    <n v="7.1"/>
    <s v="4th Year"/>
    <s v="Passed"/>
    <s v="No"/>
    <s v="No"/>
  </r>
  <r>
    <s v="22781A3224"/>
    <s v="Lakshmi"/>
    <x v="3"/>
    <n v="78.34"/>
    <x v="1"/>
    <n v="8"/>
    <s v="2nd Year"/>
    <s v="DBMS"/>
    <s v="No"/>
    <s v="No"/>
  </r>
  <r>
    <s v="22781A3225"/>
    <s v="Harini"/>
    <x v="0"/>
    <n v="78.56"/>
    <x v="0"/>
    <n v="5.7"/>
    <s v="2nd Year"/>
    <s v="Passed"/>
    <s v="No"/>
    <s v="No"/>
  </r>
  <r>
    <s v="22781A3226"/>
    <s v="Deepika"/>
    <x v="2"/>
    <n v="93.62"/>
    <x v="0"/>
    <n v="6.44"/>
    <s v="2nd Year"/>
    <s v="Passed"/>
    <s v="No"/>
    <s v="No"/>
  </r>
  <r>
    <s v="20781A3228"/>
    <s v="Chaitanya"/>
    <x v="3"/>
    <n v="69.05"/>
    <x v="0"/>
    <n v="8.4499999999999993"/>
    <s v="4th Year"/>
    <s v="Passed"/>
    <s v="Yes"/>
    <s v="No"/>
  </r>
  <r>
    <s v="21781A3228"/>
    <s v="Keerthi"/>
    <x v="2"/>
    <n v="65.39"/>
    <x v="0"/>
    <n v="8.66"/>
    <s v="3rd Year"/>
    <s v="Passed"/>
    <s v="Yes"/>
    <s v="No"/>
  </r>
  <r>
    <s v="20781A3229"/>
    <s v="Bhavya"/>
    <x v="5"/>
    <n v="70.44"/>
    <x v="0"/>
    <n v="6.53"/>
    <s v="4th Year"/>
    <s v="Passed"/>
    <s v="Yes"/>
    <s v="No"/>
  </r>
  <r>
    <s v="20781A3230"/>
    <s v="Tejaswini"/>
    <x v="4"/>
    <n v="77.47"/>
    <x v="0"/>
    <n v="7.27"/>
    <s v="4th Year"/>
    <s v="Passed"/>
    <s v="No"/>
    <s v="No"/>
  </r>
  <r>
    <s v="23781A3228"/>
    <s v="Sindhu"/>
    <x v="3"/>
    <n v="97.86"/>
    <x v="1"/>
    <n v="7.68"/>
    <s v="1st Year"/>
    <s v="M1"/>
    <s v="No"/>
    <s v="No"/>
  </r>
  <r>
    <s v="22781A3227"/>
    <s v="Deepika"/>
    <x v="0"/>
    <n v="89.52"/>
    <x v="0"/>
    <n v="7.22"/>
    <s v="2nd Year"/>
    <s v="Passed"/>
    <s v="No"/>
    <s v="No"/>
  </r>
  <r>
    <s v="23781A3229"/>
    <s v="Pavan"/>
    <x v="1"/>
    <n v="98.22"/>
    <x v="0"/>
    <n v="6.92"/>
    <s v="1st Year"/>
    <s v="Passed"/>
    <s v="No"/>
    <s v="No"/>
  </r>
  <r>
    <s v="22781A3228"/>
    <s v="Vamsi"/>
    <x v="4"/>
    <n v="71.650000000000006"/>
    <x v="0"/>
    <n v="9"/>
    <s v="2nd Year"/>
    <s v="Passed"/>
    <s v="Yes"/>
    <s v="No"/>
  </r>
  <r>
    <s v="20781A3231"/>
    <s v="Praveen"/>
    <x v="5"/>
    <n v="85.4"/>
    <x v="0"/>
    <n v="6.14"/>
    <s v="4th Year"/>
    <s v="Passed"/>
    <s v="No"/>
    <s v="No"/>
  </r>
  <r>
    <s v="22781A3229"/>
    <s v="Pavan"/>
    <x v="4"/>
    <n v="72.37"/>
    <x v="0"/>
    <n v="7.14"/>
    <s v="2nd Year"/>
    <s v="Passed"/>
    <s v="Yes"/>
    <s v="No"/>
  </r>
  <r>
    <s v="23781A3230"/>
    <s v="Naveen"/>
    <x v="1"/>
    <n v="92.99"/>
    <x v="0"/>
    <n v="6.07"/>
    <s v="1st Year"/>
    <s v="Passed"/>
    <s v="No"/>
    <s v="No"/>
  </r>
  <r>
    <s v="22781A3230"/>
    <s v="Tejaswini"/>
    <x v="3"/>
    <n v="90.24"/>
    <x v="0"/>
    <n v="9.6300000000000008"/>
    <s v="2nd Year"/>
    <s v="Passed"/>
    <s v="No"/>
    <s v="No"/>
  </r>
  <r>
    <s v="23781A3231"/>
    <s v="Anjali"/>
    <x v="3"/>
    <n v="79.819999999999993"/>
    <x v="0"/>
    <n v="6.5"/>
    <s v="1st Year"/>
    <s v="Passed"/>
    <s v="No"/>
    <s v="No"/>
  </r>
  <r>
    <s v="21781A3229"/>
    <s v="Priya"/>
    <x v="1"/>
    <n v="82.69"/>
    <x v="0"/>
    <n v="8.0399999999999991"/>
    <s v="3rd Year"/>
    <s v="Passed"/>
    <s v="No"/>
    <s v="No"/>
  </r>
  <r>
    <s v="23781A3232"/>
    <s v="Suresh"/>
    <x v="1"/>
    <n v="83.2"/>
    <x v="0"/>
    <n v="9.5399999999999991"/>
    <s v="1st Year"/>
    <s v="Passed"/>
    <s v="No"/>
    <s v="No"/>
  </r>
  <r>
    <s v="22781A3231"/>
    <s v="Kavya"/>
    <x v="1"/>
    <n v="95.24"/>
    <x v="1"/>
    <n v="6.38"/>
    <s v="2nd Year"/>
    <s v="DBMS"/>
    <s v="No"/>
    <s v="No"/>
  </r>
  <r>
    <s v="20781A3232"/>
    <s v="Akhila"/>
    <x v="2"/>
    <n v="63.84"/>
    <x v="0"/>
    <n v="5.67"/>
    <s v="4th Year"/>
    <s v="Passed"/>
    <s v="No"/>
    <s v="Yes"/>
  </r>
  <r>
    <s v="23781A3233"/>
    <s v="Kavya"/>
    <x v="3"/>
    <n v="93.64"/>
    <x v="0"/>
    <n v="7.87"/>
    <s v="1st Year"/>
    <s v="Passed"/>
    <s v="No"/>
    <s v="No"/>
  </r>
  <r>
    <s v="21781A3230"/>
    <s v="Mahesh"/>
    <x v="5"/>
    <n v="91.08"/>
    <x v="0"/>
    <n v="6.56"/>
    <s v="3rd Year"/>
    <s v="Passed"/>
    <s v="No"/>
    <s v="No"/>
  </r>
  <r>
    <s v="21781A3231"/>
    <s v="Bhavya"/>
    <x v="2"/>
    <n v="65.55"/>
    <x v="0"/>
    <n v="9.56"/>
    <s v="3rd Year"/>
    <s v="Passed"/>
    <s v="Yes"/>
    <s v="No"/>
  </r>
  <r>
    <s v="20781A3233"/>
    <s v="Vamsi"/>
    <x v="4"/>
    <n v="72.45"/>
    <x v="0"/>
    <n v="8.4499999999999993"/>
    <s v="4th Year"/>
    <s v="Passed"/>
    <s v="Yes"/>
    <s v="No"/>
  </r>
  <r>
    <s v="22781A3232"/>
    <s v="Vamsi"/>
    <x v="1"/>
    <n v="96.1"/>
    <x v="0"/>
    <n v="5.79"/>
    <s v="2nd Year"/>
    <s v="Passed"/>
    <s v="No"/>
    <s v="No"/>
  </r>
  <r>
    <s v="23781A3234"/>
    <s v="Naveen"/>
    <x v="1"/>
    <n v="88.21"/>
    <x v="0"/>
    <n v="6.54"/>
    <s v="1st Year"/>
    <s v="Passed"/>
    <s v="No"/>
    <s v="No"/>
  </r>
  <r>
    <s v="20781A3234"/>
    <s v="Mahesh"/>
    <x v="2"/>
    <n v="81.39"/>
    <x v="0"/>
    <n v="6.66"/>
    <s v="4th Year"/>
    <s v="Passed"/>
    <s v="No"/>
    <s v="No"/>
  </r>
  <r>
    <s v="22781A3233"/>
    <s v="Sindhu"/>
    <x v="2"/>
    <n v="71.39"/>
    <x v="0"/>
    <n v="8.6199999999999992"/>
    <s v="2nd Year"/>
    <s v="Passed"/>
    <s v="Yes"/>
    <s v="No"/>
  </r>
  <r>
    <s v="21781A3232"/>
    <s v="Swathi"/>
    <x v="2"/>
    <n v="69.2"/>
    <x v="1"/>
    <n v="8.48"/>
    <s v="3rd Year"/>
    <s v="Machine Learning"/>
    <s v="Yes"/>
    <s v="No"/>
  </r>
  <r>
    <s v="23781A3235"/>
    <s v="Saneeth"/>
    <x v="3"/>
    <n v="62.33"/>
    <x v="0"/>
    <n v="5.19"/>
    <s v="1st Year"/>
    <s v="Passed"/>
    <s v="No"/>
    <s v="Yes"/>
  </r>
  <r>
    <s v="23781A3236"/>
    <s v="Mahesh"/>
    <x v="2"/>
    <n v="79.52"/>
    <x v="1"/>
    <n v="6.99"/>
    <s v="1st Year"/>
    <s v="M1"/>
    <s v="No"/>
    <s v="No"/>
  </r>
  <r>
    <s v="22781A3234"/>
    <s v="Praveen"/>
    <x v="0"/>
    <n v="65.2"/>
    <x v="0"/>
    <n v="7.67"/>
    <s v="2nd Year"/>
    <s v="Passed"/>
    <s v="Yes"/>
    <s v="No"/>
  </r>
  <r>
    <s v="23781A3237"/>
    <s v="Saneeth"/>
    <x v="4"/>
    <n v="80.97"/>
    <x v="1"/>
    <n v="5.69"/>
    <s v="1st Year"/>
    <s v="M1"/>
    <s v="No"/>
    <s v="No"/>
  </r>
  <r>
    <s v="21781A3233"/>
    <s v="Swathi"/>
    <x v="0"/>
    <n v="66.709999999999994"/>
    <x v="0"/>
    <n v="6.66"/>
    <s v="3rd Year"/>
    <s v="Passed"/>
    <s v="Yes"/>
    <s v="No"/>
  </r>
  <r>
    <s v="20781A3235"/>
    <s v="Kiran"/>
    <x v="4"/>
    <n v="96.11"/>
    <x v="0"/>
    <n v="5.1100000000000003"/>
    <s v="4th Year"/>
    <s v="Passed"/>
    <s v="No"/>
    <s v="No"/>
  </r>
  <r>
    <s v="23781A3238"/>
    <s v="Suresh"/>
    <x v="5"/>
    <n v="71.23"/>
    <x v="0"/>
    <n v="9.34"/>
    <s v="1st Year"/>
    <s v="Passed"/>
    <s v="Yes"/>
    <s v="No"/>
  </r>
  <r>
    <s v="20781A3236"/>
    <s v="Kavya"/>
    <x v="1"/>
    <n v="83.57"/>
    <x v="0"/>
    <n v="8.3800000000000008"/>
    <s v="4th Year"/>
    <s v="Passed"/>
    <s v="No"/>
    <s v="No"/>
  </r>
  <r>
    <s v="22781A3235"/>
    <s v="Lokesh"/>
    <x v="4"/>
    <n v="77.709999999999994"/>
    <x v="0"/>
    <n v="8.7899999999999991"/>
    <s v="2nd Year"/>
    <s v="Passed"/>
    <s v="No"/>
    <s v="No"/>
  </r>
  <r>
    <s v="20781A3237"/>
    <s v="Suresh"/>
    <x v="5"/>
    <n v="83.96"/>
    <x v="0"/>
    <n v="9.49"/>
    <s v="4th Year"/>
    <s v="Passed"/>
    <s v="No"/>
    <s v="No"/>
  </r>
  <r>
    <s v="20781A3238"/>
    <s v="Divya"/>
    <x v="3"/>
    <n v="91.23"/>
    <x v="0"/>
    <n v="8.42"/>
    <s v="4th Year"/>
    <s v="Passed"/>
    <s v="No"/>
    <s v="No"/>
  </r>
  <r>
    <s v="23781A3239"/>
    <s v="Srinivas"/>
    <x v="0"/>
    <n v="73.150000000000006"/>
    <x v="1"/>
    <n v="7.38"/>
    <s v="1st Year"/>
    <s v="M1"/>
    <s v="Yes"/>
    <s v="No"/>
  </r>
  <r>
    <s v="20781A3239"/>
    <s v="Harini"/>
    <x v="1"/>
    <n v="68.89"/>
    <x v="0"/>
    <n v="9.16"/>
    <s v="4th Year"/>
    <s v="Passed"/>
    <s v="Yes"/>
    <s v="No"/>
  </r>
  <r>
    <s v="20781A3240"/>
    <s v="Kiran"/>
    <x v="2"/>
    <n v="64.72"/>
    <x v="0"/>
    <n v="9.5399999999999991"/>
    <s v="4th Year"/>
    <s v="Passed"/>
    <s v="No"/>
    <s v="Yes"/>
  </r>
  <r>
    <s v="21781A3234"/>
    <s v="Chaitanya"/>
    <x v="2"/>
    <n v="63.94"/>
    <x v="0"/>
    <n v="9.06"/>
    <s v="3rd Year"/>
    <s v="Passed"/>
    <s v="No"/>
    <s v="Yes"/>
  </r>
  <r>
    <s v="21781A3235"/>
    <s v="Manoj"/>
    <x v="1"/>
    <n v="60.09"/>
    <x v="0"/>
    <n v="6.67"/>
    <s v="3rd Year"/>
    <s v="Passed"/>
    <s v="No"/>
    <s v="Yes"/>
  </r>
  <r>
    <s v="21781A3236"/>
    <s v="Rohit"/>
    <x v="2"/>
    <n v="97.09"/>
    <x v="0"/>
    <n v="7.47"/>
    <s v="3rd Year"/>
    <s v="Passed"/>
    <s v="No"/>
    <s v="No"/>
  </r>
  <r>
    <s v="22781A3236"/>
    <s v="Anjali"/>
    <x v="5"/>
    <n v="71.430000000000007"/>
    <x v="0"/>
    <n v="8.56"/>
    <s v="2nd Year"/>
    <s v="Passed"/>
    <s v="Yes"/>
    <s v="No"/>
  </r>
  <r>
    <s v="20781A3241"/>
    <s v="Vamsi"/>
    <x v="5"/>
    <n v="90.25"/>
    <x v="0"/>
    <n v="7.27"/>
    <s v="4th Year"/>
    <s v="Passed"/>
    <s v="No"/>
    <s v="No"/>
  </r>
  <r>
    <s v="21781A3237"/>
    <s v="Mahesh"/>
    <x v="1"/>
    <n v="75.94"/>
    <x v="0"/>
    <n v="9.77"/>
    <s v="3rd Year"/>
    <s v="Passed"/>
    <s v="No"/>
    <s v="No"/>
  </r>
  <r>
    <s v="21781A3238"/>
    <s v="Manoj"/>
    <x v="4"/>
    <n v="92.97"/>
    <x v="1"/>
    <n v="9.31"/>
    <s v="3rd Year"/>
    <s v="Machine Learning"/>
    <s v="No"/>
    <s v="No"/>
  </r>
  <r>
    <s v="20781A3242"/>
    <s v="Swathi"/>
    <x v="4"/>
    <n v="62.97"/>
    <x v="0"/>
    <n v="7.83"/>
    <s v="4th Year"/>
    <s v="Passed"/>
    <s v="No"/>
    <s v="Yes"/>
  </r>
  <r>
    <s v="21781A3239"/>
    <s v="Chaitanya"/>
    <x v="2"/>
    <n v="67.260000000000005"/>
    <x v="0"/>
    <n v="6.37"/>
    <s v="3rd Year"/>
    <s v="Passed"/>
    <s v="Yes"/>
    <s v="No"/>
  </r>
  <r>
    <s v="22781A3237"/>
    <s v="Kavya"/>
    <x v="1"/>
    <n v="64.84"/>
    <x v="0"/>
    <n v="5.93"/>
    <s v="2nd Year"/>
    <s v="Passed"/>
    <s v="No"/>
    <s v="Yes"/>
  </r>
  <r>
    <s v="22781A3238"/>
    <s v="Vamsi"/>
    <x v="4"/>
    <n v="78.12"/>
    <x v="0"/>
    <n v="5.24"/>
    <s v="2nd Year"/>
    <s v="Passed"/>
    <s v="No"/>
    <s v="No"/>
  </r>
  <r>
    <s v="21781A3240"/>
    <s v="Saneeth"/>
    <x v="2"/>
    <n v="62.21"/>
    <x v="0"/>
    <n v="7.92"/>
    <s v="3rd Year"/>
    <s v="Passed"/>
    <s v="No"/>
    <s v="Yes"/>
  </r>
  <r>
    <s v="22781A3239"/>
    <s v="Sumalatha"/>
    <x v="3"/>
    <n v="87.51"/>
    <x v="0"/>
    <n v="5.32"/>
    <s v="2nd Year"/>
    <s v="Passed"/>
    <s v="No"/>
    <s v="No"/>
  </r>
  <r>
    <s v="20781A3243"/>
    <s v="Lokesh"/>
    <x v="4"/>
    <n v="89.54"/>
    <x v="0"/>
    <n v="6.04"/>
    <s v="4th Year"/>
    <s v="Passed"/>
    <s v="No"/>
    <s v="No"/>
  </r>
  <r>
    <s v="20781A3244"/>
    <s v="Kiran"/>
    <x v="0"/>
    <n v="92.99"/>
    <x v="0"/>
    <n v="5.82"/>
    <s v="4th Year"/>
    <s v="Passed"/>
    <s v="No"/>
    <s v="No"/>
  </r>
  <r>
    <s v="20781A3245"/>
    <s v="Chaitanya"/>
    <x v="3"/>
    <n v="77.09"/>
    <x v="0"/>
    <n v="6.51"/>
    <s v="4th Year"/>
    <s v="Passed"/>
    <s v="No"/>
    <s v="No"/>
  </r>
  <r>
    <s v="20781A3246"/>
    <s v="Mahesh"/>
    <x v="3"/>
    <n v="76.14"/>
    <x v="0"/>
    <n v="8.3800000000000008"/>
    <s v="4th Year"/>
    <s v="Passed"/>
    <s v="No"/>
    <s v="No"/>
  </r>
  <r>
    <s v="20781A3247"/>
    <s v="Rahul"/>
    <x v="2"/>
    <n v="82.88"/>
    <x v="0"/>
    <n v="6.3"/>
    <s v="4th Year"/>
    <s v="Passed"/>
    <s v="No"/>
    <s v="No"/>
  </r>
  <r>
    <s v="20781A3248"/>
    <s v="Sindhu"/>
    <x v="5"/>
    <n v="76.73"/>
    <x v="0"/>
    <n v="7.81"/>
    <s v="4th Year"/>
    <s v="Passed"/>
    <s v="No"/>
    <s v="No"/>
  </r>
  <r>
    <s v="23781A3240"/>
    <s v="Manoj"/>
    <x v="3"/>
    <n v="95.76"/>
    <x v="0"/>
    <n v="8.66"/>
    <s v="1st Year"/>
    <s v="Passed"/>
    <s v="No"/>
    <s v="No"/>
  </r>
  <r>
    <s v="20781A3249"/>
    <s v="Manoj"/>
    <x v="1"/>
    <n v="60.6"/>
    <x v="0"/>
    <n v="5.14"/>
    <s v="4th Year"/>
    <s v="Passed"/>
    <s v="No"/>
    <s v="Yes"/>
  </r>
  <r>
    <s v="20781A3250"/>
    <s v="Divya"/>
    <x v="2"/>
    <n v="93.29"/>
    <x v="0"/>
    <n v="5.19"/>
    <s v="4th Year"/>
    <s v="Passed"/>
    <s v="No"/>
    <s v="No"/>
  </r>
  <r>
    <s v="23781A3241"/>
    <s v="Srinivas"/>
    <x v="4"/>
    <n v="79.03"/>
    <x v="0"/>
    <n v="6.72"/>
    <s v="1st Year"/>
    <s v="Passed"/>
    <s v="No"/>
    <s v="No"/>
  </r>
  <r>
    <s v="21781A3241"/>
    <s v="Raghava"/>
    <x v="4"/>
    <n v="79.28"/>
    <x v="0"/>
    <n v="6.34"/>
    <s v="3rd Year"/>
    <s v="Passed"/>
    <s v="No"/>
    <s v="No"/>
  </r>
  <r>
    <s v="23781A3242"/>
    <s v="Nikhil"/>
    <x v="5"/>
    <n v="79.3"/>
    <x v="0"/>
    <n v="8.33"/>
    <s v="1st Year"/>
    <s v="Passed"/>
    <s v="No"/>
    <s v="No"/>
  </r>
  <r>
    <s v="22781A3240"/>
    <s v="Swathi"/>
    <x v="2"/>
    <n v="82.15"/>
    <x v="0"/>
    <n v="9.33"/>
    <s v="2nd Year"/>
    <s v="Passed"/>
    <s v="No"/>
    <s v="No"/>
  </r>
  <r>
    <s v="21781A3242"/>
    <s v="Bhavya"/>
    <x v="0"/>
    <n v="67.28"/>
    <x v="0"/>
    <n v="7.23"/>
    <s v="3rd Year"/>
    <s v="Passed"/>
    <s v="Yes"/>
    <s v="No"/>
  </r>
  <r>
    <s v="20781A3251"/>
    <s v="Saneeth"/>
    <x v="2"/>
    <n v="84.48"/>
    <x v="0"/>
    <n v="5.22"/>
    <s v="4th Year"/>
    <s v="Passed"/>
    <s v="No"/>
    <s v="No"/>
  </r>
  <r>
    <s v="20781A3252"/>
    <s v="Deepika"/>
    <x v="4"/>
    <n v="95.79"/>
    <x v="0"/>
    <n v="7.06"/>
    <s v="4th Year"/>
    <s v="Passed"/>
    <s v="No"/>
    <s v="No"/>
  </r>
  <r>
    <s v="21781A3243"/>
    <s v="Kavya"/>
    <x v="1"/>
    <n v="83.27"/>
    <x v="1"/>
    <n v="6.53"/>
    <s v="3rd Year"/>
    <s v="Machine Learning"/>
    <s v="No"/>
    <s v="No"/>
  </r>
  <r>
    <s v="21781A3244"/>
    <s v="Naveen"/>
    <x v="4"/>
    <n v="67.33"/>
    <x v="1"/>
    <n v="8.99"/>
    <s v="3rd Year"/>
    <s v="Machine Learning"/>
    <s v="Yes"/>
    <s v="No"/>
  </r>
  <r>
    <s v="21781A3245"/>
    <s v="Sumalatha"/>
    <x v="2"/>
    <n v="91"/>
    <x v="0"/>
    <n v="7.95"/>
    <s v="3rd Year"/>
    <s v="Passed"/>
    <s v="No"/>
    <s v="No"/>
  </r>
  <r>
    <s v="21781A3246"/>
    <s v="Lakshmi"/>
    <x v="1"/>
    <n v="65.13"/>
    <x v="0"/>
    <n v="5.64"/>
    <s v="3rd Year"/>
    <s v="Passed"/>
    <s v="Yes"/>
    <s v="No"/>
  </r>
  <r>
    <s v="22781A3241"/>
    <s v="Mahesh"/>
    <x v="4"/>
    <n v="70.19"/>
    <x v="0"/>
    <n v="7.39"/>
    <s v="2nd Year"/>
    <s v="Passed"/>
    <s v="Yes"/>
    <s v="No"/>
  </r>
  <r>
    <s v="21781A3247"/>
    <s v="Lokesh"/>
    <x v="3"/>
    <n v="64.91"/>
    <x v="0"/>
    <n v="6.95"/>
    <s v="3rd Year"/>
    <s v="Passed"/>
    <s v="No"/>
    <s v="Yes"/>
  </r>
  <r>
    <s v="20781A3253"/>
    <s v="Sindhu"/>
    <x v="5"/>
    <n v="71.819999999999993"/>
    <x v="0"/>
    <n v="6.41"/>
    <s v="4th Year"/>
    <s v="Passed"/>
    <s v="Yes"/>
    <s v="No"/>
  </r>
  <r>
    <s v="20781A3254"/>
    <s v="Lokesh"/>
    <x v="4"/>
    <n v="60.2"/>
    <x v="0"/>
    <n v="8.9"/>
    <s v="4th Year"/>
    <s v="Passed"/>
    <s v="No"/>
    <s v="Yes"/>
  </r>
  <r>
    <s v="23781A3243"/>
    <s v="Rahul"/>
    <x v="5"/>
    <n v="64.760000000000005"/>
    <x v="0"/>
    <n v="9.51"/>
    <s v="1st Year"/>
    <s v="Passed"/>
    <s v="No"/>
    <s v="Yes"/>
  </r>
  <r>
    <s v="23781A3244"/>
    <s v="Pavan"/>
    <x v="0"/>
    <n v="95.84"/>
    <x v="1"/>
    <n v="6.22"/>
    <s v="1st Year"/>
    <s v="M1"/>
    <s v="No"/>
    <s v="No"/>
  </r>
  <r>
    <s v="21781A3248"/>
    <s v="Srinivas"/>
    <x v="4"/>
    <n v="98.34"/>
    <x v="0"/>
    <n v="8.49"/>
    <s v="3rd Year"/>
    <s v="Passed"/>
    <s v="No"/>
    <s v="No"/>
  </r>
  <r>
    <s v="20781A3255"/>
    <s v="Akhila"/>
    <x v="2"/>
    <n v="95.42"/>
    <x v="0"/>
    <n v="6.36"/>
    <s v="4th Year"/>
    <s v="Passed"/>
    <s v="No"/>
    <s v="No"/>
  </r>
  <r>
    <s v="20781A3256"/>
    <s v="Lakshmi"/>
    <x v="2"/>
    <n v="73.94"/>
    <x v="0"/>
    <n v="6.7"/>
    <s v="4th Year"/>
    <s v="Passed"/>
    <s v="Yes"/>
    <s v="No"/>
  </r>
  <r>
    <s v="20781A3257"/>
    <s v="Mahesh"/>
    <x v="5"/>
    <n v="96.18"/>
    <x v="0"/>
    <n v="5.35"/>
    <s v="4th Year"/>
    <s v="Passed"/>
    <s v="No"/>
    <s v="No"/>
  </r>
  <r>
    <s v="21781A3249"/>
    <s v="Kavya"/>
    <x v="2"/>
    <n v="61.15"/>
    <x v="0"/>
    <n v="6.61"/>
    <s v="3rd Year"/>
    <s v="Passed"/>
    <s v="No"/>
    <s v="Yes"/>
  </r>
  <r>
    <s v="21781A3250"/>
    <s v="Sindhu"/>
    <x v="5"/>
    <n v="95.75"/>
    <x v="0"/>
    <n v="9.39"/>
    <s v="3rd Year"/>
    <s v="Passed"/>
    <s v="No"/>
    <s v="No"/>
  </r>
  <r>
    <s v="21781A3251"/>
    <s v="Kavya"/>
    <x v="4"/>
    <n v="97.89"/>
    <x v="0"/>
    <n v="6.35"/>
    <s v="3rd Year"/>
    <s v="Passed"/>
    <s v="No"/>
    <s v="No"/>
  </r>
  <r>
    <s v="23781A3245"/>
    <s v="Rahul"/>
    <x v="3"/>
    <n v="87.05"/>
    <x v="0"/>
    <n v="6.39"/>
    <s v="1st Year"/>
    <s v="Passed"/>
    <s v="No"/>
    <s v="No"/>
  </r>
  <r>
    <s v="20781A3258"/>
    <s v="Pavan"/>
    <x v="1"/>
    <n v="78.19"/>
    <x v="0"/>
    <n v="6.62"/>
    <s v="4th Year"/>
    <s v="Passed"/>
    <s v="No"/>
    <s v="No"/>
  </r>
  <r>
    <s v="20781A3259"/>
    <s v="Sumalatha"/>
    <x v="2"/>
    <n v="79.930000000000007"/>
    <x v="0"/>
    <n v="8.1300000000000008"/>
    <s v="4th Year"/>
    <s v="Passed"/>
    <s v="No"/>
    <s v="No"/>
  </r>
  <r>
    <s v="21781A3252"/>
    <s v="Rohit"/>
    <x v="4"/>
    <n v="76.19"/>
    <x v="0"/>
    <n v="9.68"/>
    <s v="3rd Year"/>
    <s v="Passed"/>
    <s v="No"/>
    <s v="No"/>
  </r>
  <r>
    <s v="20781A3260"/>
    <s v="Pavan"/>
    <x v="4"/>
    <n v="82.89"/>
    <x v="0"/>
    <n v="8.66"/>
    <s v="4th Year"/>
    <s v="Passed"/>
    <s v="No"/>
    <s v="No"/>
  </r>
  <r>
    <s v="22781A3242"/>
    <s v="Saneeth"/>
    <x v="4"/>
    <n v="80.650000000000006"/>
    <x v="0"/>
    <n v="9.0500000000000007"/>
    <s v="2nd Year"/>
    <s v="Passed"/>
    <s v="No"/>
    <s v="No"/>
  </r>
  <r>
    <s v="21781A3253"/>
    <s v="Priya"/>
    <x v="2"/>
    <n v="61.16"/>
    <x v="0"/>
    <n v="5.98"/>
    <s v="3rd Year"/>
    <s v="Passed"/>
    <s v="No"/>
    <s v="Yes"/>
  </r>
  <r>
    <s v="20781A3261"/>
    <s v="Nikhil"/>
    <x v="2"/>
    <n v="72.150000000000006"/>
    <x v="0"/>
    <n v="6.3"/>
    <s v="4th Year"/>
    <s v="Passed"/>
    <s v="Yes"/>
    <s v="No"/>
  </r>
  <r>
    <s v="23781A3246"/>
    <s v="Sindhu"/>
    <x v="0"/>
    <n v="80.819999999999993"/>
    <x v="0"/>
    <n v="6.56"/>
    <s v="1st Year"/>
    <s v="Passed"/>
    <s v="No"/>
    <s v="No"/>
  </r>
  <r>
    <s v="23781A3247"/>
    <s v="Lakshmi"/>
    <x v="4"/>
    <n v="97.05"/>
    <x v="0"/>
    <n v="7.16"/>
    <s v="1st Year"/>
    <s v="Passed"/>
    <s v="No"/>
    <s v="No"/>
  </r>
  <r>
    <s v="21781A3254"/>
    <s v="Lakshmi"/>
    <x v="1"/>
    <n v="91"/>
    <x v="0"/>
    <n v="9.56"/>
    <s v="3rd Year"/>
    <s v="Passed"/>
    <s v="No"/>
    <s v="No"/>
  </r>
  <r>
    <s v="20781A3262"/>
    <s v="Naveen"/>
    <x v="3"/>
    <n v="85.34"/>
    <x v="0"/>
    <n v="7.62"/>
    <s v="4th Year"/>
    <s v="Passed"/>
    <s v="No"/>
    <s v="No"/>
  </r>
  <r>
    <s v="23781A3248"/>
    <s v="Lakshmi"/>
    <x v="2"/>
    <n v="72.209999999999994"/>
    <x v="0"/>
    <n v="8.7100000000000009"/>
    <s v="1st Year"/>
    <s v="Passed"/>
    <s v="Yes"/>
    <s v="No"/>
  </r>
  <r>
    <s v="23781A3249"/>
    <s v="Pavan"/>
    <x v="3"/>
    <n v="78.930000000000007"/>
    <x v="0"/>
    <n v="7.87"/>
    <s v="1st Year"/>
    <s v="Passed"/>
    <s v="No"/>
    <s v="No"/>
  </r>
  <r>
    <s v="20781A3263"/>
    <s v="Swathi"/>
    <x v="4"/>
    <n v="90.41"/>
    <x v="0"/>
    <n v="7.2"/>
    <s v="4th Year"/>
    <s v="Passed"/>
    <s v="No"/>
    <s v="No"/>
  </r>
  <r>
    <s v="22781A3243"/>
    <s v="Nikhil"/>
    <x v="1"/>
    <n v="79.75"/>
    <x v="0"/>
    <n v="7.9"/>
    <s v="2nd Year"/>
    <s v="Passed"/>
    <s v="No"/>
    <s v="No"/>
  </r>
  <r>
    <s v="22781A3244"/>
    <s v="Rohit"/>
    <x v="2"/>
    <n v="97.72"/>
    <x v="0"/>
    <n v="7.12"/>
    <s v="2nd Year"/>
    <s v="Passed"/>
    <s v="No"/>
    <s v="No"/>
  </r>
  <r>
    <s v="21781A3255"/>
    <s v="Raghava"/>
    <x v="1"/>
    <n v="60.89"/>
    <x v="0"/>
    <n v="8.6300000000000008"/>
    <s v="3rd Year"/>
    <s v="Passed"/>
    <s v="No"/>
    <s v="Yes"/>
  </r>
  <r>
    <s v="22781A3245"/>
    <s v="Saneeth"/>
    <x v="0"/>
    <n v="62.51"/>
    <x v="0"/>
    <n v="5.93"/>
    <s v="2nd Year"/>
    <s v="Passed"/>
    <s v="No"/>
    <s v="Yes"/>
  </r>
  <r>
    <s v="21781A3256"/>
    <s v="Vamsi"/>
    <x v="4"/>
    <n v="82.98"/>
    <x v="0"/>
    <n v="5.67"/>
    <s v="3rd Year"/>
    <s v="Passed"/>
    <s v="No"/>
    <s v="No"/>
  </r>
  <r>
    <s v="22781A3246"/>
    <s v="Swathi"/>
    <x v="0"/>
    <n v="77.400000000000006"/>
    <x v="1"/>
    <n v="9.31"/>
    <s v="2nd Year"/>
    <s v="DBMS"/>
    <s v="No"/>
    <s v="No"/>
  </r>
  <r>
    <s v="23781A3250"/>
    <s v="Nikhil"/>
    <x v="4"/>
    <n v="61.35"/>
    <x v="1"/>
    <n v="9.1199999999999992"/>
    <s v="1st Year"/>
    <s v="M1"/>
    <s v="No"/>
    <s v="Yes"/>
  </r>
  <r>
    <s v="20781A3264"/>
    <s v="Saneeth"/>
    <x v="4"/>
    <n v="79.33"/>
    <x v="0"/>
    <n v="8.5500000000000007"/>
    <s v="4th Year"/>
    <s v="Passed"/>
    <s v="No"/>
    <s v="No"/>
  </r>
  <r>
    <s v="21781A3257"/>
    <s v="Keerthi"/>
    <x v="4"/>
    <n v="62.79"/>
    <x v="0"/>
    <n v="5.56"/>
    <s v="3rd Year"/>
    <s v="Passed"/>
    <s v="No"/>
    <s v="Yes"/>
  </r>
  <r>
    <s v="21781A3258"/>
    <s v="Nikhil"/>
    <x v="2"/>
    <n v="71.23"/>
    <x v="1"/>
    <n v="9.65"/>
    <s v="3rd Year"/>
    <s v="Machine Learning"/>
    <s v="Yes"/>
    <s v="No"/>
  </r>
  <r>
    <s v="20781A3265"/>
    <s v="Rohit"/>
    <x v="3"/>
    <n v="95.93"/>
    <x v="0"/>
    <n v="6.29"/>
    <s v="4th Year"/>
    <s v="Passed"/>
    <s v="No"/>
    <s v="No"/>
  </r>
  <r>
    <s v="22781A3247"/>
    <s v="Lokesh"/>
    <x v="3"/>
    <n v="69.05"/>
    <x v="0"/>
    <n v="7.73"/>
    <s v="2nd Year"/>
    <s v="Passed"/>
    <s v="Yes"/>
    <s v="No"/>
  </r>
  <r>
    <s v="21781A3259"/>
    <s v="Tejaswini"/>
    <x v="3"/>
    <n v="72.510000000000005"/>
    <x v="0"/>
    <n v="6.44"/>
    <s v="3rd Year"/>
    <s v="Passed"/>
    <s v="Yes"/>
    <s v="No"/>
  </r>
  <r>
    <s v="22781A3248"/>
    <s v="Saneeth"/>
    <x v="3"/>
    <n v="83.36"/>
    <x v="0"/>
    <n v="5.03"/>
    <s v="2nd Year"/>
    <s v="Passed"/>
    <s v="No"/>
    <s v="No"/>
  </r>
  <r>
    <s v="20781A3266"/>
    <s v="Akhila"/>
    <x v="5"/>
    <n v="79.83"/>
    <x v="0"/>
    <n v="8.42"/>
    <s v="4th Year"/>
    <s v="Passed"/>
    <s v="No"/>
    <s v="No"/>
  </r>
  <r>
    <s v="20781A3267"/>
    <s v="Chaitanya"/>
    <x v="0"/>
    <n v="88.95"/>
    <x v="0"/>
    <n v="5.92"/>
    <s v="4th Year"/>
    <s v="Passed"/>
    <s v="No"/>
    <s v="No"/>
  </r>
  <r>
    <s v="20781A3268"/>
    <s v="Manoj"/>
    <x v="2"/>
    <n v="99.6"/>
    <x v="0"/>
    <n v="9.4"/>
    <s v="4th Year"/>
    <s v="Passed"/>
    <s v="No"/>
    <s v="No"/>
  </r>
  <r>
    <s v="23781A3251"/>
    <s v="Harini"/>
    <x v="2"/>
    <n v="64.89"/>
    <x v="0"/>
    <n v="7.12"/>
    <s v="1st Year"/>
    <s v="Passed"/>
    <s v="No"/>
    <s v="Yes"/>
  </r>
  <r>
    <s v="20781A3269"/>
    <s v="Mahesh"/>
    <x v="2"/>
    <n v="75.239999999999995"/>
    <x v="0"/>
    <n v="8.52"/>
    <s v="4th Year"/>
    <s v="Passed"/>
    <s v="No"/>
    <s v="No"/>
  </r>
  <r>
    <s v="21781A3260"/>
    <s v="Keerthi"/>
    <x v="0"/>
    <n v="67.45"/>
    <x v="1"/>
    <n v="6.22"/>
    <s v="3rd Year"/>
    <s v="Machine Learning"/>
    <s v="Yes"/>
    <s v="No"/>
  </r>
  <r>
    <s v="23781A3252"/>
    <s v="Priya"/>
    <x v="3"/>
    <n v="70.5"/>
    <x v="1"/>
    <n v="7.97"/>
    <s v="1st Year"/>
    <s v="M1"/>
    <s v="Yes"/>
    <s v="No"/>
  </r>
  <r>
    <s v="22781A3249"/>
    <s v="Bhavya"/>
    <x v="2"/>
    <n v="98.86"/>
    <x v="0"/>
    <n v="7.75"/>
    <s v="2nd Year"/>
    <s v="Passed"/>
    <s v="No"/>
    <s v="No"/>
  </r>
  <r>
    <s v="20781A3270"/>
    <s v="Divya"/>
    <x v="3"/>
    <n v="93.38"/>
    <x v="0"/>
    <n v="7.76"/>
    <s v="4th Year"/>
    <s v="Passed"/>
    <s v="No"/>
    <s v="No"/>
  </r>
  <r>
    <s v="21781A3261"/>
    <s v="Srinivas"/>
    <x v="2"/>
    <n v="61.27"/>
    <x v="1"/>
    <n v="9.25"/>
    <s v="3rd Year"/>
    <s v="Machine Learning"/>
    <s v="No"/>
    <s v="Yes"/>
  </r>
  <r>
    <s v="20781A3271"/>
    <s v="Bhavya"/>
    <x v="0"/>
    <n v="83.98"/>
    <x v="0"/>
    <n v="7.25"/>
    <s v="4th Year"/>
    <s v="Passed"/>
    <s v="No"/>
    <s v="No"/>
  </r>
  <r>
    <s v="21781A3262"/>
    <s v="Lokesh"/>
    <x v="2"/>
    <n v="97.97"/>
    <x v="0"/>
    <n v="5.48"/>
    <s v="3rd Year"/>
    <s v="Passed"/>
    <s v="No"/>
    <s v="No"/>
  </r>
  <r>
    <s v="23781A3253"/>
    <s v="Kavya"/>
    <x v="4"/>
    <n v="99.91"/>
    <x v="0"/>
    <n v="8.31"/>
    <s v="1st Year"/>
    <s v="Passed"/>
    <s v="No"/>
    <s v="No"/>
  </r>
  <r>
    <s v="21781A3263"/>
    <s v="Sumalatha"/>
    <x v="5"/>
    <n v="77.430000000000007"/>
    <x v="0"/>
    <n v="5.68"/>
    <s v="3rd Year"/>
    <s v="Passed"/>
    <s v="No"/>
    <s v="No"/>
  </r>
  <r>
    <s v="23781A3254"/>
    <s v="Akhila"/>
    <x v="4"/>
    <n v="95.4"/>
    <x v="0"/>
    <n v="7.85"/>
    <s v="1st Year"/>
    <s v="Passed"/>
    <s v="No"/>
    <s v="No"/>
  </r>
  <r>
    <s v="21781A3264"/>
    <s v="Rohit"/>
    <x v="1"/>
    <n v="78.53"/>
    <x v="0"/>
    <n v="5.84"/>
    <s v="3rd Year"/>
    <s v="Passed"/>
    <s v="No"/>
    <s v="No"/>
  </r>
  <r>
    <s v="22781A3250"/>
    <s v="Sindhu"/>
    <x v="0"/>
    <n v="71.23"/>
    <x v="0"/>
    <n v="7.74"/>
    <s v="2nd Year"/>
    <s v="Passed"/>
    <s v="Yes"/>
    <s v="No"/>
  </r>
  <r>
    <s v="22781A3251"/>
    <s v="Pavan"/>
    <x v="5"/>
    <n v="63.09"/>
    <x v="0"/>
    <n v="6.78"/>
    <s v="2nd Year"/>
    <s v="Passed"/>
    <s v="No"/>
    <s v="Yes"/>
  </r>
  <r>
    <s v="21781A3265"/>
    <s v="Anjali"/>
    <x v="4"/>
    <n v="93.35"/>
    <x v="0"/>
    <n v="8.31"/>
    <s v="3rd Year"/>
    <s v="Passed"/>
    <s v="No"/>
    <s v="No"/>
  </r>
  <r>
    <s v="23781A3255"/>
    <s v="Kiran"/>
    <x v="5"/>
    <n v="85.2"/>
    <x v="0"/>
    <n v="6.39"/>
    <s v="1st Year"/>
    <s v="Passed"/>
    <s v="No"/>
    <s v="No"/>
  </r>
  <r>
    <s v="20781A3272"/>
    <s v="Nikhil"/>
    <x v="5"/>
    <n v="92.72"/>
    <x v="0"/>
    <n v="7.47"/>
    <s v="4th Year"/>
    <s v="Passed"/>
    <s v="No"/>
    <s v="No"/>
  </r>
  <r>
    <s v="21781A3266"/>
    <s v="Suresh"/>
    <x v="0"/>
    <n v="78.459999999999994"/>
    <x v="0"/>
    <n v="9.15"/>
    <s v="3rd Year"/>
    <s v="Passed"/>
    <s v="No"/>
    <s v="No"/>
  </r>
  <r>
    <s v="23781A3256"/>
    <s v="Mahesh"/>
    <x v="2"/>
    <n v="78.42"/>
    <x v="0"/>
    <n v="6.95"/>
    <s v="1st Year"/>
    <s v="Passed"/>
    <s v="No"/>
    <s v="No"/>
  </r>
  <r>
    <s v="21781A3267"/>
    <s v="Priya"/>
    <x v="1"/>
    <n v="99.28"/>
    <x v="0"/>
    <n v="5.93"/>
    <s v="3rd Year"/>
    <s v="Passed"/>
    <s v="No"/>
    <s v="No"/>
  </r>
  <r>
    <s v="22781A3252"/>
    <s v="Chaitanya"/>
    <x v="2"/>
    <n v="92.22"/>
    <x v="0"/>
    <n v="6.68"/>
    <s v="2nd Year"/>
    <s v="Passed"/>
    <s v="No"/>
    <s v="No"/>
  </r>
  <r>
    <s v="20781A3273"/>
    <s v="Srinivas"/>
    <x v="2"/>
    <n v="67.180000000000007"/>
    <x v="0"/>
    <n v="7.48"/>
    <s v="4th Year"/>
    <s v="Passed"/>
    <s v="Yes"/>
    <s v="No"/>
  </r>
  <r>
    <s v="22781A3253"/>
    <s v="Mahesh"/>
    <x v="0"/>
    <n v="92.84"/>
    <x v="0"/>
    <n v="7.52"/>
    <s v="2nd Year"/>
    <s v="Passed"/>
    <s v="No"/>
    <s v="No"/>
  </r>
  <r>
    <s v="23781A3257"/>
    <s v="Pavan"/>
    <x v="5"/>
    <n v="70.78"/>
    <x v="0"/>
    <n v="5.62"/>
    <s v="1st Year"/>
    <s v="Passed"/>
    <s v="Yes"/>
    <s v="No"/>
  </r>
  <r>
    <s v="22781A3254"/>
    <s v="Swathi"/>
    <x v="4"/>
    <n v="86.54"/>
    <x v="0"/>
    <n v="8.24"/>
    <s v="2nd Year"/>
    <s v="Passed"/>
    <s v="No"/>
    <s v="No"/>
  </r>
  <r>
    <s v="22781A3255"/>
    <s v="Srinivas"/>
    <x v="3"/>
    <n v="89.39"/>
    <x v="0"/>
    <n v="6.78"/>
    <s v="2nd Year"/>
    <s v="Passed"/>
    <s v="No"/>
    <s v="No"/>
  </r>
  <r>
    <s v="23781A3258"/>
    <s v="Anjali"/>
    <x v="3"/>
    <n v="97.27"/>
    <x v="0"/>
    <n v="7.05"/>
    <s v="1st Year"/>
    <s v="Passed"/>
    <s v="No"/>
    <s v="No"/>
  </r>
  <r>
    <s v="21781A3268"/>
    <s v="Praveen"/>
    <x v="4"/>
    <n v="70.290000000000006"/>
    <x v="0"/>
    <n v="6.91"/>
    <s v="3rd Year"/>
    <s v="Passed"/>
    <s v="Yes"/>
    <s v="No"/>
  </r>
  <r>
    <s v="20781A3274"/>
    <s v="Rohit"/>
    <x v="0"/>
    <n v="91.99"/>
    <x v="0"/>
    <n v="7.17"/>
    <s v="4th Year"/>
    <s v="Passed"/>
    <s v="No"/>
    <s v="No"/>
  </r>
  <r>
    <s v="20781A3275"/>
    <s v="Mahesh"/>
    <x v="0"/>
    <n v="76.760000000000005"/>
    <x v="1"/>
    <n v="5.66"/>
    <s v="4th Year"/>
    <s v="Deep Learning"/>
    <s v="No"/>
    <s v="No"/>
  </r>
  <r>
    <s v="23781A3259"/>
    <s v="Raghava"/>
    <x v="0"/>
    <n v="65.56"/>
    <x v="0"/>
    <n v="6.72"/>
    <s v="1st Year"/>
    <s v="Passed"/>
    <s v="Yes"/>
    <s v="No"/>
  </r>
  <r>
    <s v="22781A3256"/>
    <s v="Kiran"/>
    <x v="4"/>
    <n v="85.26"/>
    <x v="0"/>
    <n v="6.51"/>
    <s v="2nd Year"/>
    <s v="Passed"/>
    <s v="No"/>
    <s v="No"/>
  </r>
  <r>
    <s v="23781A3260"/>
    <s v="Akhila"/>
    <x v="3"/>
    <n v="92.36"/>
    <x v="0"/>
    <n v="8.3699999999999992"/>
    <s v="1st Year"/>
    <s v="Passed"/>
    <s v="No"/>
    <s v="No"/>
  </r>
  <r>
    <s v="22781A3257"/>
    <s v="Tejaswini"/>
    <x v="1"/>
    <n v="96.9"/>
    <x v="0"/>
    <n v="7.49"/>
    <s v="2nd Year"/>
    <s v="Passed"/>
    <s v="No"/>
    <s v="No"/>
  </r>
  <r>
    <s v="21781A3269"/>
    <s v="Keerthi"/>
    <x v="1"/>
    <n v="96.11"/>
    <x v="0"/>
    <n v="5.32"/>
    <s v="3rd Year"/>
    <s v="Passed"/>
    <s v="No"/>
    <s v="No"/>
  </r>
  <r>
    <s v="23781A3261"/>
    <s v="Mahesh"/>
    <x v="2"/>
    <n v="91.85"/>
    <x v="0"/>
    <n v="5.97"/>
    <s v="1st Year"/>
    <s v="Passed"/>
    <s v="No"/>
    <s v="No"/>
  </r>
  <r>
    <s v="20781A3276"/>
    <s v="Divya"/>
    <x v="5"/>
    <n v="84.99"/>
    <x v="0"/>
    <n v="7.49"/>
    <s v="4th Year"/>
    <s v="Passed"/>
    <s v="No"/>
    <s v="No"/>
  </r>
  <r>
    <s v="23781A3262"/>
    <s v="Chaitanya"/>
    <x v="1"/>
    <n v="67.94"/>
    <x v="0"/>
    <n v="7.7"/>
    <s v="1st Year"/>
    <s v="Passed"/>
    <s v="Yes"/>
    <s v="No"/>
  </r>
  <r>
    <s v="22781A3258"/>
    <s v="Sumalatha"/>
    <x v="0"/>
    <n v="74.319999999999993"/>
    <x v="0"/>
    <n v="8.27"/>
    <s v="2nd Year"/>
    <s v="Passed"/>
    <s v="Yes"/>
    <s v="No"/>
  </r>
  <r>
    <s v="20781A3277"/>
    <s v="Sindhu"/>
    <x v="2"/>
    <n v="76.98"/>
    <x v="0"/>
    <n v="5.13"/>
    <s v="4th Year"/>
    <s v="Passed"/>
    <s v="No"/>
    <s v="No"/>
  </r>
  <r>
    <s v="23781A3263"/>
    <s v="Lakshmi"/>
    <x v="1"/>
    <n v="96.2"/>
    <x v="0"/>
    <n v="6.13"/>
    <s v="1st Year"/>
    <s v="Passed"/>
    <s v="No"/>
    <s v="No"/>
  </r>
  <r>
    <s v="21781A3270"/>
    <s v="Manoj"/>
    <x v="1"/>
    <n v="89.22"/>
    <x v="0"/>
    <n v="8.58"/>
    <s v="3rd Year"/>
    <s v="Passed"/>
    <s v="No"/>
    <s v="No"/>
  </r>
  <r>
    <s v="21781A3271"/>
    <s v="Priya"/>
    <x v="3"/>
    <n v="83.97"/>
    <x v="0"/>
    <n v="6.89"/>
    <s v="3rd Year"/>
    <s v="Passed"/>
    <s v="No"/>
    <s v="No"/>
  </r>
  <r>
    <s v="20781A3278"/>
    <s v="Rahul"/>
    <x v="0"/>
    <n v="98.02"/>
    <x v="0"/>
    <n v="8.4"/>
    <s v="4th Year"/>
    <s v="Passed"/>
    <s v="No"/>
    <s v="No"/>
  </r>
  <r>
    <s v="22781A3259"/>
    <s v="Mahesh"/>
    <x v="1"/>
    <n v="77.48"/>
    <x v="0"/>
    <n v="5.61"/>
    <s v="2nd Year"/>
    <s v="Passed"/>
    <s v="No"/>
    <s v="No"/>
  </r>
  <r>
    <s v="21781A3272"/>
    <s v="Harini"/>
    <x v="2"/>
    <n v="87.7"/>
    <x v="0"/>
    <n v="5.08"/>
    <s v="3rd Year"/>
    <s v="Passed"/>
    <s v="No"/>
    <s v="No"/>
  </r>
  <r>
    <s v="21781A3273"/>
    <s v="Nikhil"/>
    <x v="1"/>
    <n v="96.53"/>
    <x v="1"/>
    <n v="9.6300000000000008"/>
    <s v="3rd Year"/>
    <s v="Machine Learning"/>
    <s v="No"/>
    <s v="No"/>
  </r>
  <r>
    <s v="23781A3264"/>
    <s v="Lakshmi"/>
    <x v="0"/>
    <n v="80.44"/>
    <x v="0"/>
    <n v="5.87"/>
    <s v="1st Year"/>
    <s v="Passed"/>
    <s v="No"/>
    <s v="No"/>
  </r>
  <r>
    <s v="20781A3279"/>
    <s v="Bhavya"/>
    <x v="5"/>
    <n v="78.37"/>
    <x v="0"/>
    <n v="5.46"/>
    <s v="4th Year"/>
    <s v="Passed"/>
    <s v="No"/>
    <s v="No"/>
  </r>
  <r>
    <s v="22781A3260"/>
    <s v="Mahesh"/>
    <x v="3"/>
    <n v="99"/>
    <x v="0"/>
    <n v="9.7799999999999994"/>
    <s v="2nd Year"/>
    <s v="Passed"/>
    <s v="No"/>
    <s v="No"/>
  </r>
  <r>
    <s v="21781A3274"/>
    <s v="Saneeth"/>
    <x v="1"/>
    <n v="66.33"/>
    <x v="0"/>
    <n v="7.17"/>
    <s v="3rd Year"/>
    <s v="Passed"/>
    <s v="Yes"/>
    <s v="No"/>
  </r>
  <r>
    <s v="22781A3261"/>
    <s v="Saneeth"/>
    <x v="1"/>
    <n v="91.56"/>
    <x v="0"/>
    <n v="6.15"/>
    <s v="2nd Year"/>
    <s v="Passed"/>
    <s v="No"/>
    <s v="No"/>
  </r>
  <r>
    <s v="22781A3262"/>
    <s v="Kiran"/>
    <x v="2"/>
    <n v="94.31"/>
    <x v="0"/>
    <n v="5.65"/>
    <s v="2nd Year"/>
    <s v="Passed"/>
    <s v="No"/>
    <s v="No"/>
  </r>
  <r>
    <s v="20781A3280"/>
    <s v="Mahesh"/>
    <x v="0"/>
    <n v="85.12"/>
    <x v="0"/>
    <n v="9.44"/>
    <s v="4th Year"/>
    <s v="Passed"/>
    <s v="No"/>
    <s v="No"/>
  </r>
  <r>
    <s v="20781A3281"/>
    <s v="Swathi"/>
    <x v="3"/>
    <n v="67.11"/>
    <x v="0"/>
    <n v="9.6199999999999992"/>
    <s v="4th Year"/>
    <s v="Passed"/>
    <s v="Yes"/>
    <s v="No"/>
  </r>
  <r>
    <s v="23781A3265"/>
    <s v="Akhila"/>
    <x v="5"/>
    <n v="81.900000000000006"/>
    <x v="1"/>
    <n v="8.4600000000000009"/>
    <s v="1st Year"/>
    <s v="M1"/>
    <s v="No"/>
    <s v="No"/>
  </r>
  <r>
    <s v="21781A3275"/>
    <s v="Raghava"/>
    <x v="1"/>
    <n v="85.46"/>
    <x v="0"/>
    <n v="6.01"/>
    <s v="3rd Year"/>
    <s v="Passed"/>
    <s v="No"/>
    <s v="No"/>
  </r>
  <r>
    <s v="22781A3263"/>
    <s v="Kiran"/>
    <x v="3"/>
    <n v="65.069999999999993"/>
    <x v="0"/>
    <n v="8.92"/>
    <s v="2nd Year"/>
    <s v="Passed"/>
    <s v="Yes"/>
    <s v="No"/>
  </r>
  <r>
    <s v="23781A3266"/>
    <s v="Anjali"/>
    <x v="1"/>
    <n v="82.18"/>
    <x v="0"/>
    <n v="5.88"/>
    <s v="1st Year"/>
    <s v="Passed"/>
    <s v="No"/>
    <s v="No"/>
  </r>
  <r>
    <s v="21781A3276"/>
    <s v="Sumalatha"/>
    <x v="0"/>
    <n v="87.45"/>
    <x v="0"/>
    <n v="8.5399999999999991"/>
    <s v="3rd Year"/>
    <s v="Passed"/>
    <s v="No"/>
    <s v="No"/>
  </r>
  <r>
    <s v="23781A3267"/>
    <s v="Rahul"/>
    <x v="1"/>
    <n v="79.44"/>
    <x v="0"/>
    <n v="7.45"/>
    <s v="1st Year"/>
    <s v="Passed"/>
    <s v="No"/>
    <s v="No"/>
  </r>
  <r>
    <s v="23781A3268"/>
    <s v="Chaitanya"/>
    <x v="1"/>
    <n v="83.31"/>
    <x v="0"/>
    <n v="5.96"/>
    <s v="1st Year"/>
    <s v="Passed"/>
    <s v="No"/>
    <s v="No"/>
  </r>
  <r>
    <s v="20781A3282"/>
    <s v="Rahul"/>
    <x v="5"/>
    <n v="70.38"/>
    <x v="0"/>
    <n v="5.0999999999999996"/>
    <s v="4th Year"/>
    <s v="Passed"/>
    <s v="Yes"/>
    <s v="No"/>
  </r>
  <r>
    <s v="23781A3269"/>
    <s v="Sumalatha"/>
    <x v="5"/>
    <n v="67.45"/>
    <x v="0"/>
    <n v="8.01"/>
    <s v="1st Year"/>
    <s v="Passed"/>
    <s v="Yes"/>
    <s v="No"/>
  </r>
  <r>
    <s v="20781A3283"/>
    <s v="Lokesh"/>
    <x v="3"/>
    <n v="68.05"/>
    <x v="0"/>
    <n v="8.9600000000000009"/>
    <s v="4th Year"/>
    <s v="Passed"/>
    <s v="Yes"/>
    <s v="No"/>
  </r>
  <r>
    <s v="20781A3284"/>
    <s v="Vamsi"/>
    <x v="0"/>
    <n v="77.59"/>
    <x v="0"/>
    <n v="5.37"/>
    <s v="4th Year"/>
    <s v="Passed"/>
    <s v="No"/>
    <s v="No"/>
  </r>
  <r>
    <s v="20781A3285"/>
    <s v="Harini"/>
    <x v="2"/>
    <n v="64.930000000000007"/>
    <x v="0"/>
    <n v="7.65"/>
    <s v="4th Year"/>
    <s v="Passed"/>
    <s v="No"/>
    <s v="Yes"/>
  </r>
  <r>
    <s v="20781A3286"/>
    <s v="Chaitanya"/>
    <x v="5"/>
    <n v="74.83"/>
    <x v="0"/>
    <n v="9.0299999999999994"/>
    <s v="4th Year"/>
    <s v="Passed"/>
    <s v="Yes"/>
    <s v="No"/>
  </r>
  <r>
    <s v="23781A3270"/>
    <s v="Keerthi"/>
    <x v="5"/>
    <n v="88.26"/>
    <x v="0"/>
    <n v="7.94"/>
    <s v="1st Year"/>
    <s v="Passed"/>
    <s v="No"/>
    <s v="No"/>
  </r>
  <r>
    <s v="22781A3264"/>
    <s v="Pavan"/>
    <x v="0"/>
    <n v="92.78"/>
    <x v="0"/>
    <n v="7.68"/>
    <s v="2nd Year"/>
    <s v="Passed"/>
    <s v="No"/>
    <s v="No"/>
  </r>
  <r>
    <s v="23781A3271"/>
    <s v="Kiran"/>
    <x v="4"/>
    <n v="63.72"/>
    <x v="0"/>
    <n v="8.5399999999999991"/>
    <s v="1st Year"/>
    <s v="Passed"/>
    <s v="No"/>
    <s v="Yes"/>
  </r>
  <r>
    <s v="23781A3272"/>
    <s v="Praveen"/>
    <x v="4"/>
    <n v="86.04"/>
    <x v="0"/>
    <n v="5.07"/>
    <s v="1st Year"/>
    <s v="Passed"/>
    <s v="No"/>
    <s v="No"/>
  </r>
  <r>
    <s v="23781A3273"/>
    <s v="Bhavya"/>
    <x v="2"/>
    <n v="71.7"/>
    <x v="0"/>
    <n v="5.0599999999999996"/>
    <s v="1st Year"/>
    <s v="Passed"/>
    <s v="Yes"/>
    <s v="No"/>
  </r>
  <r>
    <s v="23781A3274"/>
    <s v="Lokesh"/>
    <x v="4"/>
    <n v="88.72"/>
    <x v="0"/>
    <n v="7.16"/>
    <s v="1st Year"/>
    <s v="Passed"/>
    <s v="No"/>
    <s v="No"/>
  </r>
  <r>
    <s v="22781A3265"/>
    <s v="Raghava"/>
    <x v="0"/>
    <n v="83.07"/>
    <x v="0"/>
    <n v="6.94"/>
    <s v="2nd Year"/>
    <s v="Passed"/>
    <s v="No"/>
    <s v="No"/>
  </r>
  <r>
    <s v="23781A3275"/>
    <s v="Vamsi"/>
    <x v="5"/>
    <n v="78.36"/>
    <x v="0"/>
    <n v="7.67"/>
    <s v="1st Year"/>
    <s v="Passed"/>
    <s v="No"/>
    <s v="No"/>
  </r>
  <r>
    <s v="21781A3277"/>
    <s v="Naveen"/>
    <x v="2"/>
    <n v="81.92"/>
    <x v="0"/>
    <n v="6.05"/>
    <s v="3rd Year"/>
    <s v="Passed"/>
    <s v="No"/>
    <s v="No"/>
  </r>
  <r>
    <s v="23781A3276"/>
    <s v="Swathi"/>
    <x v="4"/>
    <n v="74.260000000000005"/>
    <x v="0"/>
    <n v="5.64"/>
    <s v="1st Year"/>
    <s v="Passed"/>
    <s v="Yes"/>
    <s v="No"/>
  </r>
  <r>
    <s v="20781A3287"/>
    <s v="Nikhil"/>
    <x v="5"/>
    <n v="98.69"/>
    <x v="0"/>
    <n v="6.75"/>
    <s v="4th Year"/>
    <s v="Passed"/>
    <s v="No"/>
    <s v="No"/>
  </r>
  <r>
    <s v="20781A3288"/>
    <s v="Swathi"/>
    <x v="0"/>
    <n v="90.75"/>
    <x v="0"/>
    <n v="6.44"/>
    <s v="4th Year"/>
    <s v="Passed"/>
    <s v="No"/>
    <s v="No"/>
  </r>
  <r>
    <s v="22781A3266"/>
    <s v="Priya"/>
    <x v="5"/>
    <n v="64.13"/>
    <x v="0"/>
    <n v="7.37"/>
    <s v="2nd Year"/>
    <s v="Passed"/>
    <s v="No"/>
    <s v="Yes"/>
  </r>
  <r>
    <s v="21781A3278"/>
    <s v="Bhavya"/>
    <x v="2"/>
    <n v="98.01"/>
    <x v="0"/>
    <n v="7.06"/>
    <s v="3rd Year"/>
    <s v="Passed"/>
    <s v="No"/>
    <s v="No"/>
  </r>
  <r>
    <s v="23781A3277"/>
    <s v="Deepika"/>
    <x v="2"/>
    <n v="69.569999999999993"/>
    <x v="1"/>
    <n v="8.9700000000000006"/>
    <s v="1st Year"/>
    <s v="M1"/>
    <s v="Yes"/>
    <s v="No"/>
  </r>
  <r>
    <s v="21781A3279"/>
    <s v="Raghava"/>
    <x v="5"/>
    <n v="91.79"/>
    <x v="0"/>
    <n v="5.78"/>
    <s v="3rd Year"/>
    <s v="Passed"/>
    <s v="No"/>
    <s v="No"/>
  </r>
  <r>
    <s v="22781A3267"/>
    <s v="Kavya"/>
    <x v="5"/>
    <n v="60.37"/>
    <x v="0"/>
    <n v="6.16"/>
    <s v="2nd Year"/>
    <s v="Passed"/>
    <s v="No"/>
    <s v="Yes"/>
  </r>
  <r>
    <s v="23781A3278"/>
    <s v="Akhila"/>
    <x v="5"/>
    <n v="92.51"/>
    <x v="0"/>
    <n v="8.33"/>
    <s v="1st Year"/>
    <s v="Passed"/>
    <s v="No"/>
    <s v="No"/>
  </r>
  <r>
    <s v="21781A3280"/>
    <s v="Swathi"/>
    <x v="2"/>
    <n v="70.86"/>
    <x v="0"/>
    <n v="9.43"/>
    <s v="3rd Year"/>
    <s v="Passed"/>
    <s v="Yes"/>
    <s v="No"/>
  </r>
  <r>
    <s v="20781A3289"/>
    <s v="Chaitanya"/>
    <x v="2"/>
    <n v="80.709999999999994"/>
    <x v="0"/>
    <n v="6.78"/>
    <s v="4th Year"/>
    <s v="Passed"/>
    <s v="No"/>
    <s v="No"/>
  </r>
  <r>
    <s v="23781A3279"/>
    <s v="Rahul"/>
    <x v="3"/>
    <n v="61.24"/>
    <x v="0"/>
    <n v="9.5500000000000007"/>
    <s v="1st Year"/>
    <s v="Passed"/>
    <s v="No"/>
    <s v="Yes"/>
  </r>
  <r>
    <s v="22781A3268"/>
    <s v="Suresh"/>
    <x v="2"/>
    <n v="72.31"/>
    <x v="0"/>
    <n v="5.18"/>
    <s v="2nd Year"/>
    <s v="Passed"/>
    <s v="Yes"/>
    <s v="No"/>
  </r>
  <r>
    <s v="22781A3269"/>
    <s v="Suresh"/>
    <x v="4"/>
    <n v="72.42"/>
    <x v="1"/>
    <n v="9.52"/>
    <s v="2nd Year"/>
    <s v="DBMS"/>
    <s v="Yes"/>
    <s v="No"/>
  </r>
  <r>
    <s v="20781A3290"/>
    <s v="Manoj"/>
    <x v="2"/>
    <n v="82.14"/>
    <x v="0"/>
    <n v="5.08"/>
    <s v="4th Year"/>
    <s v="Passed"/>
    <s v="No"/>
    <s v="No"/>
  </r>
  <r>
    <s v="23781A3280"/>
    <s v="Saneeth"/>
    <x v="4"/>
    <n v="82.41"/>
    <x v="0"/>
    <n v="6.06"/>
    <s v="1st Year"/>
    <s v="Passed"/>
    <s v="No"/>
    <s v="No"/>
  </r>
  <r>
    <s v="23781A3281"/>
    <s v="Akhila"/>
    <x v="4"/>
    <n v="79.45"/>
    <x v="0"/>
    <n v="9.01"/>
    <s v="1st Year"/>
    <s v="Passed"/>
    <s v="No"/>
    <s v="No"/>
  </r>
  <r>
    <s v="22781A3270"/>
    <s v="Priya"/>
    <x v="3"/>
    <n v="92.84"/>
    <x v="0"/>
    <n v="6.41"/>
    <s v="2nd Year"/>
    <s v="Passed"/>
    <s v="No"/>
    <s v="No"/>
  </r>
  <r>
    <s v="22781A3271"/>
    <s v="Rahul"/>
    <x v="0"/>
    <n v="62.29"/>
    <x v="0"/>
    <n v="5.05"/>
    <s v="2nd Year"/>
    <s v="Passed"/>
    <s v="No"/>
    <s v="Yes"/>
  </r>
  <r>
    <s v="22781A3272"/>
    <s v="Praveen"/>
    <x v="4"/>
    <n v="86.4"/>
    <x v="0"/>
    <n v="5.83"/>
    <s v="2nd Year"/>
    <s v="Passed"/>
    <s v="No"/>
    <s v="No"/>
  </r>
  <r>
    <s v="20781A3291"/>
    <s v="Rohit"/>
    <x v="2"/>
    <n v="63"/>
    <x v="0"/>
    <n v="7.53"/>
    <s v="4th Year"/>
    <s v="Passed"/>
    <s v="No"/>
    <s v="Yes"/>
  </r>
  <r>
    <s v="22781A3273"/>
    <s v="Sindhu"/>
    <x v="0"/>
    <n v="99.82"/>
    <x v="0"/>
    <n v="5.53"/>
    <s v="2nd Year"/>
    <s v="Passed"/>
    <s v="No"/>
    <s v="No"/>
  </r>
  <r>
    <s v="22781A3274"/>
    <s v="Keerthi"/>
    <x v="2"/>
    <n v="76.69"/>
    <x v="0"/>
    <n v="9.1199999999999992"/>
    <s v="2nd Year"/>
    <s v="Passed"/>
    <s v="No"/>
    <s v="No"/>
  </r>
  <r>
    <s v="22781A3275"/>
    <s v="Raghava"/>
    <x v="0"/>
    <n v="65.760000000000005"/>
    <x v="0"/>
    <n v="7.68"/>
    <s v="2nd Year"/>
    <s v="Passed"/>
    <s v="Yes"/>
    <s v="No"/>
  </r>
  <r>
    <s v="20781A3292"/>
    <s v="Vamsi"/>
    <x v="1"/>
    <n v="83.95"/>
    <x v="0"/>
    <n v="9.66"/>
    <s v="4th Year"/>
    <s v="Passed"/>
    <s v="No"/>
    <s v="No"/>
  </r>
  <r>
    <s v="22781A3276"/>
    <s v="Manoj"/>
    <x v="4"/>
    <n v="98.52"/>
    <x v="0"/>
    <n v="9.1199999999999992"/>
    <s v="2nd Year"/>
    <s v="Passed"/>
    <s v="No"/>
    <s v="No"/>
  </r>
  <r>
    <s v="21781A3281"/>
    <s v="Akhila"/>
    <x v="2"/>
    <n v="92.77"/>
    <x v="0"/>
    <n v="5.15"/>
    <s v="3rd Year"/>
    <s v="Passed"/>
    <s v="No"/>
    <s v="No"/>
  </r>
  <r>
    <s v="22781A3277"/>
    <s v="Suresh"/>
    <x v="1"/>
    <n v="91.47"/>
    <x v="1"/>
    <n v="9.0500000000000007"/>
    <s v="2nd Year"/>
    <s v="DBMS"/>
    <s v="No"/>
    <s v="No"/>
  </r>
  <r>
    <s v="23781A3282"/>
    <s v="Vamsi"/>
    <x v="5"/>
    <n v="89.22"/>
    <x v="0"/>
    <n v="8.34"/>
    <s v="1st Year"/>
    <s v="Passed"/>
    <s v="No"/>
    <s v="No"/>
  </r>
  <r>
    <s v="22781A3278"/>
    <s v="Vamsi"/>
    <x v="4"/>
    <n v="88.66"/>
    <x v="0"/>
    <n v="7.17"/>
    <s v="2nd Year"/>
    <s v="Passed"/>
    <s v="No"/>
    <s v="No"/>
  </r>
  <r>
    <s v="22781A3279"/>
    <s v="Praveen"/>
    <x v="5"/>
    <n v="96.49"/>
    <x v="0"/>
    <n v="5.54"/>
    <s v="2nd Year"/>
    <s v="Passed"/>
    <s v="No"/>
    <s v="No"/>
  </r>
  <r>
    <s v="22781A3280"/>
    <s v="Sindhu"/>
    <x v="2"/>
    <n v="72.13"/>
    <x v="0"/>
    <n v="6.56"/>
    <s v="2nd Year"/>
    <s v="Passed"/>
    <s v="Yes"/>
    <s v="No"/>
  </r>
  <r>
    <s v="20781A3293"/>
    <s v="Bhavya"/>
    <x v="3"/>
    <n v="95.88"/>
    <x v="0"/>
    <n v="8.98"/>
    <s v="4th Year"/>
    <s v="Passed"/>
    <s v="No"/>
    <s v="No"/>
  </r>
  <r>
    <s v="21781A3282"/>
    <s v="Vamsi"/>
    <x v="4"/>
    <n v="90.15"/>
    <x v="1"/>
    <n v="5.56"/>
    <s v="3rd Year"/>
    <s v="Machine Learning"/>
    <s v="No"/>
    <s v="No"/>
  </r>
  <r>
    <s v="21781A3283"/>
    <s v="Chaitanya"/>
    <x v="4"/>
    <n v="89.01"/>
    <x v="0"/>
    <n v="9.33"/>
    <s v="3rd Year"/>
    <s v="Passed"/>
    <s v="No"/>
    <s v="No"/>
  </r>
  <r>
    <s v="23781A3283"/>
    <s v="Manoj"/>
    <x v="1"/>
    <n v="74.349999999999994"/>
    <x v="1"/>
    <n v="6.87"/>
    <s v="1st Year"/>
    <s v="M1"/>
    <s v="Yes"/>
    <s v="No"/>
  </r>
  <r>
    <s v="20781A3294"/>
    <s v="Saneeth"/>
    <x v="2"/>
    <n v="87.99"/>
    <x v="0"/>
    <n v="9.18"/>
    <s v="4th Year"/>
    <s v="Passed"/>
    <s v="No"/>
    <s v="No"/>
  </r>
  <r>
    <s v="23781A3284"/>
    <s v="Raghava"/>
    <x v="1"/>
    <n v="88.3"/>
    <x v="0"/>
    <n v="9.5500000000000007"/>
    <s v="1st Year"/>
    <s v="Passed"/>
    <s v="No"/>
    <s v="No"/>
  </r>
  <r>
    <s v="20781A3295"/>
    <s v="Tejaswini"/>
    <x v="5"/>
    <n v="89.26"/>
    <x v="0"/>
    <n v="5.33"/>
    <s v="4th Year"/>
    <s v="Passed"/>
    <s v="No"/>
    <s v="No"/>
  </r>
  <r>
    <s v="21781A3284"/>
    <s v="Nikhil"/>
    <x v="0"/>
    <n v="98.18"/>
    <x v="0"/>
    <n v="6.37"/>
    <s v="3rd Year"/>
    <s v="Passed"/>
    <s v="No"/>
    <s v="No"/>
  </r>
  <r>
    <s v="23781A3285"/>
    <s v="Anjali"/>
    <x v="1"/>
    <n v="83.3"/>
    <x v="0"/>
    <n v="6.77"/>
    <s v="1st Year"/>
    <s v="Passed"/>
    <s v="No"/>
    <s v="No"/>
  </r>
  <r>
    <s v="23781A3286"/>
    <s v="Mahesh"/>
    <x v="5"/>
    <n v="85.47"/>
    <x v="0"/>
    <n v="5.38"/>
    <s v="1st Year"/>
    <s v="Passed"/>
    <s v="No"/>
    <s v="No"/>
  </r>
  <r>
    <s v="20781A3296"/>
    <s v="Pavan"/>
    <x v="2"/>
    <n v="92.88"/>
    <x v="1"/>
    <n v="5.78"/>
    <s v="4th Year"/>
    <s v="Deep Learning"/>
    <s v="No"/>
    <s v="No"/>
  </r>
  <r>
    <s v="20781A3297"/>
    <s v="Chaitanya"/>
    <x v="4"/>
    <n v="74.790000000000006"/>
    <x v="0"/>
    <n v="7.19"/>
    <s v="4th Year"/>
    <s v="Passed"/>
    <s v="Yes"/>
    <s v="No"/>
  </r>
  <r>
    <s v="22781A3281"/>
    <s v="Mahesh"/>
    <x v="3"/>
    <n v="81.93"/>
    <x v="1"/>
    <n v="7.57"/>
    <s v="2nd Year"/>
    <s v="DBMS"/>
    <s v="No"/>
    <s v="No"/>
  </r>
  <r>
    <s v="22781A3282"/>
    <s v="Bhavya"/>
    <x v="3"/>
    <n v="83.14"/>
    <x v="0"/>
    <n v="9.1199999999999992"/>
    <s v="2nd Year"/>
    <s v="Passed"/>
    <s v="No"/>
    <s v="No"/>
  </r>
  <r>
    <s v="22781A3283"/>
    <s v="Suresh"/>
    <x v="4"/>
    <n v="79.38"/>
    <x v="0"/>
    <n v="9.1199999999999992"/>
    <s v="2nd Year"/>
    <s v="Passed"/>
    <s v="No"/>
    <s v="No"/>
  </r>
  <r>
    <s v="21781A3285"/>
    <s v="Harini"/>
    <x v="3"/>
    <n v="61.88"/>
    <x v="0"/>
    <n v="5.03"/>
    <s v="3rd Year"/>
    <s v="Passed"/>
    <s v="No"/>
    <s v="Yes"/>
  </r>
  <r>
    <s v="22781A3284"/>
    <s v="Suresh"/>
    <x v="5"/>
    <n v="71.989999999999995"/>
    <x v="0"/>
    <n v="6.69"/>
    <s v="2nd Year"/>
    <s v="Passed"/>
    <s v="Yes"/>
    <s v="No"/>
  </r>
  <r>
    <s v="20781A3298"/>
    <s v="Sindhu"/>
    <x v="3"/>
    <n v="62.46"/>
    <x v="0"/>
    <n v="5.95"/>
    <s v="4th Year"/>
    <s v="Passed"/>
    <s v="No"/>
    <s v="Yes"/>
  </r>
  <r>
    <s v="20781A3299"/>
    <s v="Praveen"/>
    <x v="1"/>
    <n v="70.36"/>
    <x v="0"/>
    <n v="9.68"/>
    <s v="4th Year"/>
    <s v="Passed"/>
    <s v="Yes"/>
    <s v="No"/>
  </r>
  <r>
    <s v="20781A3300"/>
    <s v="Rohit"/>
    <x v="3"/>
    <n v="94.57"/>
    <x v="0"/>
    <n v="9.26"/>
    <s v="4th Year"/>
    <s v="Passed"/>
    <s v="No"/>
    <s v="No"/>
  </r>
  <r>
    <s v="22781A3285"/>
    <s v="Vamsi"/>
    <x v="2"/>
    <n v="64.92"/>
    <x v="0"/>
    <n v="7.2"/>
    <s v="2nd Year"/>
    <s v="Passed"/>
    <s v="No"/>
    <s v="Yes"/>
  </r>
  <r>
    <s v="21781A3286"/>
    <s v="Swathi"/>
    <x v="0"/>
    <n v="85.64"/>
    <x v="0"/>
    <n v="6.4"/>
    <s v="3rd Year"/>
    <s v="Passed"/>
    <s v="No"/>
    <s v="No"/>
  </r>
  <r>
    <s v="22781A3286"/>
    <s v="Sumalatha"/>
    <x v="2"/>
    <n v="75.19"/>
    <x v="0"/>
    <n v="6.72"/>
    <s v="2nd Year"/>
    <s v="Passed"/>
    <s v="No"/>
    <s v="No"/>
  </r>
  <r>
    <s v="23781A3287"/>
    <s v="Naveen"/>
    <x v="2"/>
    <n v="62.64"/>
    <x v="0"/>
    <n v="9.18"/>
    <s v="1st Year"/>
    <s v="Passed"/>
    <s v="No"/>
    <s v="Yes"/>
  </r>
  <r>
    <s v="21781A3287"/>
    <s v="Nikhil"/>
    <x v="3"/>
    <n v="79.09"/>
    <x v="1"/>
    <n v="7.51"/>
    <s v="3rd Year"/>
    <s v="Machine Learning"/>
    <s v="No"/>
    <s v="No"/>
  </r>
  <r>
    <s v="22781A3287"/>
    <s v="Deepika"/>
    <x v="3"/>
    <n v="68.34"/>
    <x v="0"/>
    <n v="5.0599999999999996"/>
    <s v="2nd Year"/>
    <s v="Passed"/>
    <s v="Yes"/>
    <s v="No"/>
  </r>
  <r>
    <s v="21781A3288"/>
    <s v="Mahesh"/>
    <x v="4"/>
    <n v="81.73"/>
    <x v="0"/>
    <n v="9.7100000000000009"/>
    <s v="3rd Year"/>
    <s v="Passed"/>
    <s v="No"/>
    <s v="No"/>
  </r>
  <r>
    <s v="20781A3301"/>
    <s v="Harini"/>
    <x v="4"/>
    <n v="75.72"/>
    <x v="1"/>
    <n v="9.44"/>
    <s v="4th Year"/>
    <s v="Deep Learning"/>
    <s v="No"/>
    <s v="No"/>
  </r>
  <r>
    <s v="22781A3288"/>
    <s v="Manoj"/>
    <x v="2"/>
    <n v="99.45"/>
    <x v="0"/>
    <n v="7.25"/>
    <s v="2nd Year"/>
    <s v="Passed"/>
    <s v="No"/>
    <s v="No"/>
  </r>
  <r>
    <s v="20781A3302"/>
    <s v="Srinivas"/>
    <x v="1"/>
    <n v="91.86"/>
    <x v="0"/>
    <n v="6.16"/>
    <s v="4th Year"/>
    <s v="Passed"/>
    <s v="No"/>
    <s v="No"/>
  </r>
  <r>
    <s v="21781A3289"/>
    <s v="Swathi"/>
    <x v="4"/>
    <n v="84.87"/>
    <x v="0"/>
    <n v="5.2"/>
    <s v="3rd Year"/>
    <s v="Passed"/>
    <s v="No"/>
    <s v="No"/>
  </r>
  <r>
    <s v="22781A3289"/>
    <s v="Priya"/>
    <x v="2"/>
    <n v="85.65"/>
    <x v="0"/>
    <n v="5.75"/>
    <s v="2nd Year"/>
    <s v="Passed"/>
    <s v="No"/>
    <s v="No"/>
  </r>
  <r>
    <s v="23781A3288"/>
    <s v="Tejaswini"/>
    <x v="4"/>
    <n v="88.42"/>
    <x v="1"/>
    <n v="9.11"/>
    <s v="1st Year"/>
    <s v="M1"/>
    <s v="No"/>
    <s v="No"/>
  </r>
  <r>
    <s v="21781A3290"/>
    <s v="Deepika"/>
    <x v="1"/>
    <n v="89"/>
    <x v="0"/>
    <n v="7.87"/>
    <s v="3rd Year"/>
    <s v="Passed"/>
    <s v="No"/>
    <s v="No"/>
  </r>
  <r>
    <s v="21781A3291"/>
    <s v="Lokesh"/>
    <x v="2"/>
    <n v="68.930000000000007"/>
    <x v="0"/>
    <n v="7.51"/>
    <s v="3rd Year"/>
    <s v="Passed"/>
    <s v="Yes"/>
    <s v="No"/>
  </r>
  <r>
    <s v="22781A3290"/>
    <s v="Anjali"/>
    <x v="4"/>
    <n v="90.51"/>
    <x v="0"/>
    <n v="7.18"/>
    <s v="2nd Year"/>
    <s v="Passed"/>
    <s v="No"/>
    <s v="No"/>
  </r>
  <r>
    <s v="21781A3292"/>
    <s v="Praveen"/>
    <x v="3"/>
    <n v="78.78"/>
    <x v="0"/>
    <n v="5.42"/>
    <s v="3rd Year"/>
    <s v="Passed"/>
    <s v="No"/>
    <s v="No"/>
  </r>
  <r>
    <s v="23781A3289"/>
    <s v="Pavan"/>
    <x v="0"/>
    <n v="87.39"/>
    <x v="0"/>
    <n v="8.7100000000000009"/>
    <s v="1st Year"/>
    <s v="Passed"/>
    <s v="No"/>
    <s v="No"/>
  </r>
  <r>
    <s v="21781A3293"/>
    <s v="Rahul"/>
    <x v="0"/>
    <n v="77.81"/>
    <x v="0"/>
    <n v="9.6199999999999992"/>
    <s v="3rd Year"/>
    <s v="Passed"/>
    <s v="No"/>
    <s v="No"/>
  </r>
  <r>
    <s v="23781A3290"/>
    <s v="Divya"/>
    <x v="4"/>
    <n v="60.54"/>
    <x v="0"/>
    <n v="8.14"/>
    <s v="1st Year"/>
    <s v="Passed"/>
    <s v="No"/>
    <s v="Yes"/>
  </r>
  <r>
    <s v="22781A3291"/>
    <s v="Manoj"/>
    <x v="2"/>
    <n v="69.42"/>
    <x v="0"/>
    <n v="5.67"/>
    <s v="2nd Year"/>
    <s v="Passed"/>
    <s v="Yes"/>
    <s v="No"/>
  </r>
  <r>
    <s v="20781A3303"/>
    <s v="Mahesh"/>
    <x v="0"/>
    <n v="78.739999999999995"/>
    <x v="0"/>
    <n v="5.6"/>
    <s v="4th Year"/>
    <s v="Passed"/>
    <s v="No"/>
    <s v="No"/>
  </r>
  <r>
    <s v="23781A3291"/>
    <s v="Praveen"/>
    <x v="3"/>
    <n v="78.89"/>
    <x v="0"/>
    <n v="5.5"/>
    <s v="1st Year"/>
    <s v="Passed"/>
    <s v="No"/>
    <s v="No"/>
  </r>
  <r>
    <s v="23781A3292"/>
    <s v="Nikhil"/>
    <x v="4"/>
    <n v="67.790000000000006"/>
    <x v="0"/>
    <n v="7.64"/>
    <s v="1st Year"/>
    <s v="Passed"/>
    <s v="Yes"/>
    <s v="No"/>
  </r>
  <r>
    <s v="20781A3304"/>
    <s v="Naveen"/>
    <x v="4"/>
    <n v="78.81"/>
    <x v="0"/>
    <n v="8.06"/>
    <s v="4th Year"/>
    <s v="Passed"/>
    <s v="No"/>
    <s v="No"/>
  </r>
  <r>
    <s v="23781A3293"/>
    <s v="Mahesh"/>
    <x v="5"/>
    <n v="74.17"/>
    <x v="0"/>
    <n v="9.6300000000000008"/>
    <s v="1st Year"/>
    <s v="Passed"/>
    <s v="Yes"/>
    <s v="No"/>
  </r>
  <r>
    <s v="22781A3292"/>
    <s v="Tejaswini"/>
    <x v="2"/>
    <n v="83.39"/>
    <x v="0"/>
    <n v="5.84"/>
    <s v="2nd Year"/>
    <s v="Passed"/>
    <s v="No"/>
    <s v="No"/>
  </r>
  <r>
    <s v="20781A3305"/>
    <s v="Bhavya"/>
    <x v="0"/>
    <n v="96.68"/>
    <x v="0"/>
    <n v="9.66"/>
    <s v="4th Year"/>
    <s v="Passed"/>
    <s v="No"/>
    <s v="No"/>
  </r>
  <r>
    <s v="20781A3306"/>
    <s v="Chaitanya"/>
    <x v="4"/>
    <n v="65.87"/>
    <x v="0"/>
    <n v="7.95"/>
    <s v="4th Year"/>
    <s v="Passed"/>
    <s v="Yes"/>
    <s v="No"/>
  </r>
  <r>
    <s v="21781A3294"/>
    <s v="Mahesh"/>
    <x v="4"/>
    <n v="60.52"/>
    <x v="0"/>
    <n v="7.54"/>
    <s v="3rd Year"/>
    <s v="Passed"/>
    <s v="No"/>
    <s v="Yes"/>
  </r>
  <r>
    <s v="23781A3294"/>
    <s v="Nikhil"/>
    <x v="1"/>
    <n v="89.02"/>
    <x v="0"/>
    <n v="6.56"/>
    <s v="1st Year"/>
    <s v="Passed"/>
    <s v="No"/>
    <s v="No"/>
  </r>
  <r>
    <s v="22781A3293"/>
    <s v="Swathi"/>
    <x v="3"/>
    <n v="67.58"/>
    <x v="0"/>
    <n v="5.05"/>
    <s v="2nd Year"/>
    <s v="Passed"/>
    <s v="Yes"/>
    <s v="No"/>
  </r>
  <r>
    <s v="20781A3307"/>
    <s v="Lokesh"/>
    <x v="1"/>
    <n v="72.760000000000005"/>
    <x v="0"/>
    <n v="6.22"/>
    <s v="4th Year"/>
    <s v="Passed"/>
    <s v="Yes"/>
    <s v="No"/>
  </r>
  <r>
    <s v="22781A3294"/>
    <s v="Anjali"/>
    <x v="1"/>
    <n v="94.16"/>
    <x v="0"/>
    <n v="8.34"/>
    <s v="2nd Year"/>
    <s v="Passed"/>
    <s v="No"/>
    <s v="No"/>
  </r>
  <r>
    <s v="22781A3295"/>
    <s v="Kavya"/>
    <x v="1"/>
    <n v="93.77"/>
    <x v="0"/>
    <n v="9.16"/>
    <s v="2nd Year"/>
    <s v="Passed"/>
    <s v="No"/>
    <s v="No"/>
  </r>
  <r>
    <s v="23781A3295"/>
    <s v="Suresh"/>
    <x v="2"/>
    <n v="87.55"/>
    <x v="0"/>
    <n v="5.3"/>
    <s v="1st Year"/>
    <s v="Passed"/>
    <s v="No"/>
    <s v="No"/>
  </r>
  <r>
    <s v="23781A3296"/>
    <s v="Mahesh"/>
    <x v="1"/>
    <n v="62.53"/>
    <x v="1"/>
    <n v="7.53"/>
    <s v="1st Year"/>
    <s v="M1"/>
    <s v="No"/>
    <s v="Yes"/>
  </r>
  <r>
    <s v="21781A3295"/>
    <s v="Chaitanya"/>
    <x v="2"/>
    <n v="98.09"/>
    <x v="0"/>
    <n v="7.68"/>
    <s v="3rd Year"/>
    <s v="Passed"/>
    <s v="No"/>
    <s v="No"/>
  </r>
  <r>
    <s v="20781A3308"/>
    <s v="Suresh"/>
    <x v="3"/>
    <n v="61.57"/>
    <x v="0"/>
    <n v="9.75"/>
    <s v="4th Year"/>
    <s v="Passed"/>
    <s v="No"/>
    <s v="Yes"/>
  </r>
  <r>
    <s v="20781A3309"/>
    <s v="Pavan"/>
    <x v="0"/>
    <n v="90.67"/>
    <x v="1"/>
    <n v="5.39"/>
    <s v="4th Year"/>
    <s v="Deep Learning"/>
    <s v="No"/>
    <s v="No"/>
  </r>
  <r>
    <s v="21781A3296"/>
    <s v="Akhila"/>
    <x v="2"/>
    <n v="63.37"/>
    <x v="1"/>
    <n v="7.41"/>
    <s v="3rd Year"/>
    <s v="Machine Learning"/>
    <s v="No"/>
    <s v="Yes"/>
  </r>
  <r>
    <s v="22781A3296"/>
    <s v="Sumalatha"/>
    <x v="0"/>
    <n v="81.22"/>
    <x v="1"/>
    <n v="6.69"/>
    <s v="2nd Year"/>
    <s v="DBMS"/>
    <s v="No"/>
    <s v="No"/>
  </r>
  <r>
    <s v="23781A3297"/>
    <s v="Divya"/>
    <x v="1"/>
    <n v="60.31"/>
    <x v="0"/>
    <n v="5.35"/>
    <s v="1st Year"/>
    <s v="Passed"/>
    <s v="No"/>
    <s v="Yes"/>
  </r>
  <r>
    <s v="22781A3297"/>
    <s v="Sumalatha"/>
    <x v="0"/>
    <n v="78.23"/>
    <x v="0"/>
    <n v="6.03"/>
    <s v="2nd Year"/>
    <s v="Passed"/>
    <s v="No"/>
    <s v="No"/>
  </r>
  <r>
    <s v="22781A3298"/>
    <s v="Srinivas"/>
    <x v="1"/>
    <n v="98.85"/>
    <x v="1"/>
    <n v="9.19"/>
    <s v="2nd Year"/>
    <s v="DBMS"/>
    <s v="No"/>
    <s v="No"/>
  </r>
  <r>
    <s v="21781A3297"/>
    <s v="Kiran"/>
    <x v="1"/>
    <n v="83.19"/>
    <x v="0"/>
    <n v="7.54"/>
    <s v="3rd Year"/>
    <s v="Passed"/>
    <s v="No"/>
    <s v="No"/>
  </r>
  <r>
    <s v="23781A3298"/>
    <s v="Sindhu"/>
    <x v="1"/>
    <n v="81.48"/>
    <x v="1"/>
    <n v="7.26"/>
    <s v="1st Year"/>
    <s v="M1"/>
    <s v="No"/>
    <s v="No"/>
  </r>
  <r>
    <s v="21781A3298"/>
    <s v="Mahesh"/>
    <x v="3"/>
    <n v="88.35"/>
    <x v="0"/>
    <n v="8.9700000000000006"/>
    <s v="3rd Year"/>
    <s v="Passed"/>
    <s v="No"/>
    <s v="No"/>
  </r>
  <r>
    <s v="20781A3310"/>
    <s v="Kiran"/>
    <x v="3"/>
    <n v="92.17"/>
    <x v="0"/>
    <n v="5.44"/>
    <s v="4th Year"/>
    <s v="Passed"/>
    <s v="No"/>
    <s v="No"/>
  </r>
  <r>
    <s v="22781A3299"/>
    <s v="Praveen"/>
    <x v="2"/>
    <n v="75.510000000000005"/>
    <x v="0"/>
    <n v="7.29"/>
    <s v="2nd Year"/>
    <s v="Passed"/>
    <s v="No"/>
    <s v="No"/>
  </r>
  <r>
    <s v="21781A3299"/>
    <s v="Chaitanya"/>
    <x v="3"/>
    <n v="99.61"/>
    <x v="1"/>
    <n v="8.9700000000000006"/>
    <s v="3rd Year"/>
    <s v="Machine Learning"/>
    <s v="No"/>
    <s v="No"/>
  </r>
  <r>
    <s v="20781A3311"/>
    <s v="Nikhil"/>
    <x v="3"/>
    <n v="67.180000000000007"/>
    <x v="0"/>
    <n v="5.95"/>
    <s v="4th Year"/>
    <s v="Passed"/>
    <s v="Yes"/>
    <s v="No"/>
  </r>
  <r>
    <s v="21781A3300"/>
    <s v="Akhila"/>
    <x v="3"/>
    <n v="63.88"/>
    <x v="0"/>
    <n v="9.58"/>
    <s v="3rd Year"/>
    <s v="Passed"/>
    <s v="No"/>
    <s v="Yes"/>
  </r>
  <r>
    <s v="20781A3312"/>
    <s v="Praveen"/>
    <x v="1"/>
    <n v="67.680000000000007"/>
    <x v="0"/>
    <n v="5.85"/>
    <s v="4th Year"/>
    <s v="Passed"/>
    <s v="Yes"/>
    <s v="No"/>
  </r>
  <r>
    <s v="20781A3313"/>
    <s v="Srinivas"/>
    <x v="5"/>
    <n v="98.35"/>
    <x v="0"/>
    <n v="7.64"/>
    <s v="4th Year"/>
    <s v="Passed"/>
    <s v="No"/>
    <s v="No"/>
  </r>
  <r>
    <s v="20781A3314"/>
    <s v="Rahul"/>
    <x v="0"/>
    <n v="65.680000000000007"/>
    <x v="0"/>
    <n v="6.87"/>
    <s v="4th Year"/>
    <s v="Passed"/>
    <s v="Yes"/>
    <s v="No"/>
  </r>
  <r>
    <s v="20781A3315"/>
    <s v="Srinivas"/>
    <x v="5"/>
    <n v="78.97"/>
    <x v="0"/>
    <n v="6.53"/>
    <s v="4th Year"/>
    <s v="Passed"/>
    <s v="No"/>
    <s v="No"/>
  </r>
  <r>
    <s v="22781A3300"/>
    <s v="Tejaswini"/>
    <x v="4"/>
    <n v="84.71"/>
    <x v="0"/>
    <n v="8.52"/>
    <s v="2nd Year"/>
    <s v="Passed"/>
    <s v="No"/>
    <s v="No"/>
  </r>
  <r>
    <s v="21781A3301"/>
    <s v="Sumalatha"/>
    <x v="1"/>
    <n v="88.29"/>
    <x v="0"/>
    <n v="9.2200000000000006"/>
    <s v="3rd Year"/>
    <s v="Passed"/>
    <s v="No"/>
    <s v="No"/>
  </r>
  <r>
    <s v="20781A3316"/>
    <s v="Kavya"/>
    <x v="5"/>
    <n v="92.1"/>
    <x v="0"/>
    <n v="5.56"/>
    <s v="4th Year"/>
    <s v="Passed"/>
    <s v="No"/>
    <s v="No"/>
  </r>
  <r>
    <s v="21781A3302"/>
    <s v="Kavya"/>
    <x v="5"/>
    <n v="60.9"/>
    <x v="0"/>
    <n v="8.1199999999999992"/>
    <s v="3rd Year"/>
    <s v="Passed"/>
    <s v="No"/>
    <s v="Yes"/>
  </r>
  <r>
    <s v="21781A3303"/>
    <s v="Sumalatha"/>
    <x v="2"/>
    <n v="72.59"/>
    <x v="0"/>
    <n v="6.65"/>
    <s v="3rd Year"/>
    <s v="Passed"/>
    <s v="Yes"/>
    <s v="No"/>
  </r>
  <r>
    <s v="20781A3317"/>
    <s v="Divya"/>
    <x v="1"/>
    <n v="81.53"/>
    <x v="0"/>
    <n v="5.09"/>
    <s v="4th Year"/>
    <s v="Passed"/>
    <s v="No"/>
    <s v="No"/>
  </r>
  <r>
    <s v="23781A3299"/>
    <s v="Naveen"/>
    <x v="1"/>
    <n v="67.94"/>
    <x v="0"/>
    <n v="5.35"/>
    <s v="1st Year"/>
    <s v="Passed"/>
    <s v="Yes"/>
    <s v="No"/>
  </r>
  <r>
    <s v="22781A3301"/>
    <s v="Saneeth"/>
    <x v="2"/>
    <n v="61.03"/>
    <x v="0"/>
    <n v="7.31"/>
    <s v="2nd Year"/>
    <s v="Passed"/>
    <s v="No"/>
    <s v="Yes"/>
  </r>
  <r>
    <s v="21781A3304"/>
    <s v="Rohit"/>
    <x v="2"/>
    <n v="60.69"/>
    <x v="0"/>
    <n v="7.49"/>
    <s v="3rd Year"/>
    <s v="Passed"/>
    <s v="No"/>
    <s v="Yes"/>
  </r>
  <r>
    <s v="22781A3302"/>
    <s v="Akhila"/>
    <x v="3"/>
    <n v="91.08"/>
    <x v="0"/>
    <n v="6.8"/>
    <s v="2nd Year"/>
    <s v="Passed"/>
    <s v="No"/>
    <s v="No"/>
  </r>
  <r>
    <s v="22781A3303"/>
    <s v="Nikhil"/>
    <x v="2"/>
    <n v="92.34"/>
    <x v="1"/>
    <n v="9.26"/>
    <s v="2nd Year"/>
    <s v="DBMS"/>
    <s v="No"/>
    <s v="No"/>
  </r>
  <r>
    <s v="22781A3304"/>
    <s v="Sindhu"/>
    <x v="4"/>
    <n v="65.31"/>
    <x v="1"/>
    <n v="8.58"/>
    <s v="2nd Year"/>
    <s v="DBMS"/>
    <s v="Yes"/>
    <s v="No"/>
  </r>
  <r>
    <s v="21781A3305"/>
    <s v="Rahul"/>
    <x v="2"/>
    <n v="75.88"/>
    <x v="0"/>
    <n v="5.94"/>
    <s v="3rd Year"/>
    <s v="Passed"/>
    <s v="No"/>
    <s v="No"/>
  </r>
  <r>
    <s v="20781A3318"/>
    <s v="Harini"/>
    <x v="2"/>
    <n v="87.89"/>
    <x v="0"/>
    <n v="9.11"/>
    <s v="4th Year"/>
    <s v="Passed"/>
    <s v="No"/>
    <s v="No"/>
  </r>
  <r>
    <s v="21781A3306"/>
    <s v="Mahesh"/>
    <x v="1"/>
    <n v="84.91"/>
    <x v="0"/>
    <n v="6.52"/>
    <s v="3rd Year"/>
    <s v="Passed"/>
    <s v="No"/>
    <s v="No"/>
  </r>
  <r>
    <s v="21781A3307"/>
    <s v="Praveen"/>
    <x v="1"/>
    <n v="87.83"/>
    <x v="0"/>
    <n v="7.17"/>
    <s v="3rd Year"/>
    <s v="Passed"/>
    <s v="No"/>
    <s v="No"/>
  </r>
  <r>
    <s v="22781A3305"/>
    <s v="Saneeth"/>
    <x v="5"/>
    <n v="88.78"/>
    <x v="0"/>
    <n v="8.4499999999999993"/>
    <s v="2nd Year"/>
    <s v="Passed"/>
    <s v="No"/>
    <s v="No"/>
  </r>
  <r>
    <s v="21781A3308"/>
    <s v="Deepika"/>
    <x v="3"/>
    <n v="62.6"/>
    <x v="0"/>
    <n v="5.69"/>
    <s v="3rd Year"/>
    <s v="Passed"/>
    <s v="No"/>
    <s v="Yes"/>
  </r>
  <r>
    <s v="22781A3306"/>
    <s v="Sumalatha"/>
    <x v="3"/>
    <n v="85.66"/>
    <x v="0"/>
    <n v="9.27"/>
    <s v="2nd Year"/>
    <s v="Passed"/>
    <s v="No"/>
    <s v="No"/>
  </r>
  <r>
    <s v="20781A3319"/>
    <s v="Lakshmi"/>
    <x v="2"/>
    <n v="91.16"/>
    <x v="0"/>
    <n v="8.1"/>
    <s v="4th Year"/>
    <s v="Passed"/>
    <s v="No"/>
    <s v="No"/>
  </r>
  <r>
    <s v="22781A3307"/>
    <s v="Kiran"/>
    <x v="0"/>
    <n v="78.19"/>
    <x v="0"/>
    <n v="5.74"/>
    <s v="2nd Year"/>
    <s v="Passed"/>
    <s v="No"/>
    <s v="No"/>
  </r>
  <r>
    <s v="21781A3309"/>
    <s v="Praveen"/>
    <x v="2"/>
    <n v="80.87"/>
    <x v="0"/>
    <n v="6.71"/>
    <s v="3rd Year"/>
    <s v="Passed"/>
    <s v="No"/>
    <s v="No"/>
  </r>
  <r>
    <s v="22781A3308"/>
    <s v="Sumalatha"/>
    <x v="2"/>
    <n v="78.84"/>
    <x v="0"/>
    <n v="5.21"/>
    <s v="2nd Year"/>
    <s v="Passed"/>
    <s v="No"/>
    <s v="No"/>
  </r>
  <r>
    <s v="20781A3320"/>
    <s v="Srinivas"/>
    <x v="0"/>
    <n v="80.239999999999995"/>
    <x v="0"/>
    <n v="7.89"/>
    <s v="4th Year"/>
    <s v="Passed"/>
    <s v="No"/>
    <s v="No"/>
  </r>
  <r>
    <s v="22781A3309"/>
    <s v="Praveen"/>
    <x v="2"/>
    <n v="70.42"/>
    <x v="0"/>
    <n v="6.84"/>
    <s v="2nd Year"/>
    <s v="Passed"/>
    <s v="Yes"/>
    <s v="No"/>
  </r>
  <r>
    <s v="20781A3321"/>
    <s v="Vamsi"/>
    <x v="1"/>
    <n v="70.66"/>
    <x v="0"/>
    <n v="9.6300000000000008"/>
    <s v="4th Year"/>
    <s v="Passed"/>
    <s v="Yes"/>
    <s v="No"/>
  </r>
  <r>
    <s v="20781A3322"/>
    <s v="Suresh"/>
    <x v="4"/>
    <n v="85.95"/>
    <x v="0"/>
    <n v="8.93"/>
    <s v="4th Year"/>
    <s v="Passed"/>
    <s v="No"/>
    <s v="No"/>
  </r>
  <r>
    <s v="21781A3310"/>
    <s v="Praveen"/>
    <x v="3"/>
    <n v="68.260000000000005"/>
    <x v="0"/>
    <n v="6.47"/>
    <s v="3rd Year"/>
    <s v="Passed"/>
    <s v="Yes"/>
    <s v="No"/>
  </r>
  <r>
    <s v="20781A3323"/>
    <s v="Tejaswini"/>
    <x v="3"/>
    <n v="75.44"/>
    <x v="0"/>
    <n v="9.58"/>
    <s v="4th Year"/>
    <s v="Passed"/>
    <s v="No"/>
    <s v="No"/>
  </r>
  <r>
    <s v="20781A3324"/>
    <s v="Srinivas"/>
    <x v="1"/>
    <n v="65.12"/>
    <x v="0"/>
    <n v="7.68"/>
    <s v="4th Year"/>
    <s v="Passed"/>
    <s v="Yes"/>
    <s v="No"/>
  </r>
  <r>
    <s v="20781A3325"/>
    <s v="Priya"/>
    <x v="0"/>
    <n v="85.88"/>
    <x v="0"/>
    <n v="8.33"/>
    <s v="4th Year"/>
    <s v="Passed"/>
    <s v="No"/>
    <s v="No"/>
  </r>
  <r>
    <s v="23781A3300"/>
    <s v="Sindhu"/>
    <x v="3"/>
    <n v="71.900000000000006"/>
    <x v="0"/>
    <n v="6.76"/>
    <s v="1st Year"/>
    <s v="Passed"/>
    <s v="Yes"/>
    <s v="No"/>
  </r>
  <r>
    <s v="22781A3310"/>
    <s v="Sindhu"/>
    <x v="4"/>
    <n v="82.42"/>
    <x v="1"/>
    <n v="8.0500000000000007"/>
    <s v="2nd Year"/>
    <s v="DBMS"/>
    <s v="No"/>
    <s v="No"/>
  </r>
  <r>
    <s v="21781A3311"/>
    <s v="Tejaswini"/>
    <x v="3"/>
    <n v="94.73"/>
    <x v="0"/>
    <n v="9.02"/>
    <s v="3rd Year"/>
    <s v="Passed"/>
    <s v="No"/>
    <s v="No"/>
  </r>
  <r>
    <s v="20781A3326"/>
    <s v="Tejaswini"/>
    <x v="3"/>
    <n v="79.08"/>
    <x v="0"/>
    <n v="8.16"/>
    <s v="4th Year"/>
    <s v="Passed"/>
    <s v="No"/>
    <s v="No"/>
  </r>
  <r>
    <s v="23781A3301"/>
    <s v="Kavya"/>
    <x v="3"/>
    <n v="91.55"/>
    <x v="0"/>
    <n v="8.36"/>
    <s v="1st Year"/>
    <s v="Passed"/>
    <s v="No"/>
    <s v="No"/>
  </r>
  <r>
    <s v="21781A3312"/>
    <s v="Raghava"/>
    <x v="0"/>
    <n v="60.01"/>
    <x v="0"/>
    <n v="6.54"/>
    <s v="3rd Year"/>
    <s v="Passed"/>
    <s v="No"/>
    <s v="Yes"/>
  </r>
  <r>
    <s v="20781A3327"/>
    <s v="Swathi"/>
    <x v="4"/>
    <n v="89.98"/>
    <x v="0"/>
    <n v="8.1300000000000008"/>
    <s v="4th Year"/>
    <s v="Passed"/>
    <s v="No"/>
    <s v="No"/>
  </r>
  <r>
    <s v="23781A3302"/>
    <s v="Manoj"/>
    <x v="3"/>
    <n v="81.87"/>
    <x v="0"/>
    <n v="6.35"/>
    <s v="1st Year"/>
    <s v="Passed"/>
    <s v="No"/>
    <s v="No"/>
  </r>
  <r>
    <s v="21781A3313"/>
    <s v="Chaitanya"/>
    <x v="5"/>
    <n v="65"/>
    <x v="0"/>
    <n v="6.93"/>
    <s v="3rd Year"/>
    <s v="Passed"/>
    <s v="No"/>
    <s v="No"/>
  </r>
  <r>
    <s v="23781A3303"/>
    <s v="Saneeth"/>
    <x v="3"/>
    <n v="72.37"/>
    <x v="0"/>
    <n v="6.16"/>
    <s v="1st Year"/>
    <s v="Passed"/>
    <s v="Yes"/>
    <s v="No"/>
  </r>
  <r>
    <s v="20781A3328"/>
    <s v="Raghava"/>
    <x v="4"/>
    <n v="60.1"/>
    <x v="0"/>
    <n v="8.6999999999999993"/>
    <s v="4th Year"/>
    <s v="Passed"/>
    <s v="No"/>
    <s v="Yes"/>
  </r>
  <r>
    <s v="23781A3304"/>
    <s v="Divya"/>
    <x v="5"/>
    <n v="86.82"/>
    <x v="0"/>
    <n v="7.89"/>
    <s v="1st Year"/>
    <s v="Passed"/>
    <s v="No"/>
    <s v="No"/>
  </r>
  <r>
    <s v="21781A3314"/>
    <s v="Anjali"/>
    <x v="1"/>
    <n v="82.06"/>
    <x v="0"/>
    <n v="7.54"/>
    <s v="3rd Year"/>
    <s v="Passed"/>
    <s v="No"/>
    <s v="No"/>
  </r>
  <r>
    <s v="21781A3315"/>
    <s v="Anjali"/>
    <x v="1"/>
    <n v="73.260000000000005"/>
    <x v="0"/>
    <n v="5.38"/>
    <s v="3rd Year"/>
    <s v="Passed"/>
    <s v="Yes"/>
    <s v="No"/>
  </r>
  <r>
    <s v="20781A3329"/>
    <s v="Harini"/>
    <x v="3"/>
    <n v="85.01"/>
    <x v="0"/>
    <n v="6.33"/>
    <s v="4th Year"/>
    <s v="Passed"/>
    <s v="No"/>
    <s v="No"/>
  </r>
  <r>
    <s v="23781A3305"/>
    <s v="Rahul"/>
    <x v="3"/>
    <n v="77.13"/>
    <x v="0"/>
    <n v="7.55"/>
    <s v="1st Year"/>
    <s v="Passed"/>
    <s v="No"/>
    <s v="No"/>
  </r>
  <r>
    <s v="22781A3311"/>
    <s v="Manoj"/>
    <x v="0"/>
    <n v="76.59"/>
    <x v="0"/>
    <n v="5.0599999999999996"/>
    <s v="2nd Year"/>
    <s v="Passed"/>
    <s v="No"/>
    <s v="No"/>
  </r>
  <r>
    <s v="20781A3330"/>
    <s v="Mahesh"/>
    <x v="4"/>
    <n v="88.28"/>
    <x v="0"/>
    <n v="5.93"/>
    <s v="4th Year"/>
    <s v="Passed"/>
    <s v="No"/>
    <s v="No"/>
  </r>
  <r>
    <s v="21781A3316"/>
    <s v="Swathi"/>
    <x v="4"/>
    <n v="65.010000000000005"/>
    <x v="0"/>
    <n v="8.49"/>
    <s v="3rd Year"/>
    <s v="Passed"/>
    <s v="Yes"/>
    <s v="No"/>
  </r>
  <r>
    <s v="22781A3312"/>
    <s v="Raghava"/>
    <x v="0"/>
    <n v="69.22"/>
    <x v="0"/>
    <n v="5.96"/>
    <s v="2nd Year"/>
    <s v="Passed"/>
    <s v="Yes"/>
    <s v="No"/>
  </r>
  <r>
    <s v="20781A3331"/>
    <s v="Priya"/>
    <x v="1"/>
    <n v="87.88"/>
    <x v="0"/>
    <n v="6.84"/>
    <s v="4th Year"/>
    <s v="Passed"/>
    <s v="No"/>
    <s v="No"/>
  </r>
  <r>
    <s v="21781A3317"/>
    <s v="Tejaswini"/>
    <x v="4"/>
    <n v="96.53"/>
    <x v="0"/>
    <n v="6.75"/>
    <s v="3rd Year"/>
    <s v="Passed"/>
    <s v="No"/>
    <s v="No"/>
  </r>
  <r>
    <s v="20781A3332"/>
    <s v="Harini"/>
    <x v="2"/>
    <n v="77.52"/>
    <x v="0"/>
    <n v="5.81"/>
    <s v="4th Year"/>
    <s v="Passed"/>
    <s v="No"/>
    <s v="No"/>
  </r>
  <r>
    <s v="22781A3313"/>
    <s v="Rahul"/>
    <x v="1"/>
    <n v="70.709999999999994"/>
    <x v="0"/>
    <n v="8.83"/>
    <s v="2nd Year"/>
    <s v="Passed"/>
    <s v="Yes"/>
    <s v="No"/>
  </r>
  <r>
    <s v="20781A3333"/>
    <s v="Raghava"/>
    <x v="3"/>
    <n v="65.069999999999993"/>
    <x v="0"/>
    <n v="5.09"/>
    <s v="4th Year"/>
    <s v="Passed"/>
    <s v="Yes"/>
    <s v="No"/>
  </r>
  <r>
    <s v="22781A3314"/>
    <s v="Akhila"/>
    <x v="2"/>
    <n v="91.52"/>
    <x v="0"/>
    <n v="7.51"/>
    <s v="2nd Year"/>
    <s v="Passed"/>
    <s v="No"/>
    <s v="No"/>
  </r>
  <r>
    <s v="21781A3318"/>
    <s v="Kiran"/>
    <x v="5"/>
    <n v="90.32"/>
    <x v="0"/>
    <n v="9.33"/>
    <s v="3rd Year"/>
    <s v="Passed"/>
    <s v="No"/>
    <s v="No"/>
  </r>
  <r>
    <s v="20781A3334"/>
    <s v="Srinivas"/>
    <x v="0"/>
    <n v="69.64"/>
    <x v="0"/>
    <n v="5.55"/>
    <s v="4th Year"/>
    <s v="Passed"/>
    <s v="Yes"/>
    <s v="No"/>
  </r>
  <r>
    <s v="20781A3335"/>
    <s v="Vamsi"/>
    <x v="3"/>
    <n v="89.3"/>
    <x v="1"/>
    <n v="7.86"/>
    <s v="4th Year"/>
    <s v="Deep Learning"/>
    <s v="No"/>
    <s v="No"/>
  </r>
  <r>
    <s v="23781A3306"/>
    <s v="Nikhil"/>
    <x v="3"/>
    <n v="71.53"/>
    <x v="0"/>
    <n v="9.14"/>
    <s v="1st Year"/>
    <s v="Passed"/>
    <s v="Yes"/>
    <s v="No"/>
  </r>
  <r>
    <s v="22781A3315"/>
    <s v="Mahesh"/>
    <x v="5"/>
    <n v="85.48"/>
    <x v="0"/>
    <n v="9.36"/>
    <s v="2nd Year"/>
    <s v="Passed"/>
    <s v="No"/>
    <s v="No"/>
  </r>
  <r>
    <s v="23781A3307"/>
    <s v="Nikhil"/>
    <x v="3"/>
    <n v="96.92"/>
    <x v="0"/>
    <n v="6.92"/>
    <s v="1st Year"/>
    <s v="Passed"/>
    <s v="No"/>
    <s v="No"/>
  </r>
  <r>
    <s v="20781A3336"/>
    <s v="Mahesh"/>
    <x v="3"/>
    <n v="96.71"/>
    <x v="0"/>
    <n v="7.17"/>
    <s v="4th Year"/>
    <s v="Passed"/>
    <s v="No"/>
    <s v="No"/>
  </r>
  <r>
    <s v="21781A3319"/>
    <s v="Kiran"/>
    <x v="1"/>
    <n v="70.97"/>
    <x v="0"/>
    <n v="7.66"/>
    <s v="3rd Year"/>
    <s v="Passed"/>
    <s v="Yes"/>
    <s v="No"/>
  </r>
  <r>
    <s v="23781A3308"/>
    <s v="Suresh"/>
    <x v="3"/>
    <n v="62.37"/>
    <x v="0"/>
    <n v="6.42"/>
    <s v="1st Year"/>
    <s v="Passed"/>
    <s v="No"/>
    <s v="Yes"/>
  </r>
  <r>
    <s v="22781A3316"/>
    <s v="Deepika"/>
    <x v="4"/>
    <n v="84.65"/>
    <x v="0"/>
    <n v="7.13"/>
    <s v="2nd Year"/>
    <s v="Passed"/>
    <s v="No"/>
    <s v="No"/>
  </r>
  <r>
    <s v="22781A3317"/>
    <s v="Anjali"/>
    <x v="5"/>
    <n v="84.94"/>
    <x v="0"/>
    <n v="7.73"/>
    <s v="2nd Year"/>
    <s v="Passed"/>
    <s v="No"/>
    <s v="No"/>
  </r>
  <r>
    <s v="20781A3337"/>
    <s v="Lokesh"/>
    <x v="0"/>
    <n v="97"/>
    <x v="0"/>
    <n v="9.66"/>
    <s v="4th Year"/>
    <s v="Passed"/>
    <s v="No"/>
    <s v="No"/>
  </r>
  <r>
    <s v="21781A3320"/>
    <s v="Deepika"/>
    <x v="2"/>
    <n v="86.01"/>
    <x v="0"/>
    <n v="5.75"/>
    <s v="3rd Year"/>
    <s v="Passed"/>
    <s v="No"/>
    <s v="No"/>
  </r>
  <r>
    <s v="21781A3321"/>
    <s v="Chaitanya"/>
    <x v="2"/>
    <n v="68.2"/>
    <x v="0"/>
    <n v="5.0999999999999996"/>
    <s v="3rd Year"/>
    <s v="Passed"/>
    <s v="Yes"/>
    <s v="No"/>
  </r>
  <r>
    <s v="21781A3322"/>
    <s v="Nikhil"/>
    <x v="2"/>
    <n v="68.16"/>
    <x v="0"/>
    <n v="8.73"/>
    <s v="3rd Year"/>
    <s v="Passed"/>
    <s v="Yes"/>
    <s v="No"/>
  </r>
  <r>
    <s v="22781A3318"/>
    <s v="Anjali"/>
    <x v="1"/>
    <n v="75.959999999999994"/>
    <x v="0"/>
    <n v="9.6999999999999993"/>
    <s v="2nd Year"/>
    <s v="Passed"/>
    <s v="No"/>
    <s v="No"/>
  </r>
  <r>
    <s v="21781A3323"/>
    <s v="Nikhil"/>
    <x v="0"/>
    <n v="71.239999999999995"/>
    <x v="0"/>
    <n v="5.57"/>
    <s v="3rd Year"/>
    <s v="Passed"/>
    <s v="Yes"/>
    <s v="No"/>
  </r>
  <r>
    <s v="22781A3319"/>
    <s v="Tejaswini"/>
    <x v="0"/>
    <n v="75.17"/>
    <x v="1"/>
    <n v="5.19"/>
    <s v="2nd Year"/>
    <s v="DBMS"/>
    <s v="No"/>
    <s v="No"/>
  </r>
  <r>
    <s v="22781A3320"/>
    <s v="Anjali"/>
    <x v="0"/>
    <n v="83.37"/>
    <x v="1"/>
    <n v="5.21"/>
    <s v="2nd Year"/>
    <s v="DBMS"/>
    <s v="No"/>
    <s v="No"/>
  </r>
  <r>
    <s v="21781A3324"/>
    <s v="Naveen"/>
    <x v="2"/>
    <n v="80.98"/>
    <x v="0"/>
    <n v="8.1"/>
    <s v="3rd Year"/>
    <s v="Passed"/>
    <s v="No"/>
    <s v="No"/>
  </r>
  <r>
    <s v="20781A3338"/>
    <s v="Priya"/>
    <x v="4"/>
    <n v="89.62"/>
    <x v="0"/>
    <n v="9.32"/>
    <s v="4th Year"/>
    <s v="Passed"/>
    <s v="No"/>
    <s v="No"/>
  </r>
  <r>
    <s v="22781A3321"/>
    <s v="Akhila"/>
    <x v="1"/>
    <n v="60.9"/>
    <x v="0"/>
    <n v="5.24"/>
    <s v="2nd Year"/>
    <s v="Passed"/>
    <s v="No"/>
    <s v="Yes"/>
  </r>
  <r>
    <s v="20781A3339"/>
    <s v="Sindhu"/>
    <x v="5"/>
    <n v="76.400000000000006"/>
    <x v="0"/>
    <n v="6.75"/>
    <s v="4th Year"/>
    <s v="Passed"/>
    <s v="No"/>
    <s v="No"/>
  </r>
  <r>
    <s v="20781A3340"/>
    <s v="Swathi"/>
    <x v="4"/>
    <n v="96.87"/>
    <x v="0"/>
    <n v="9.15"/>
    <s v="4th Year"/>
    <s v="Passed"/>
    <s v="No"/>
    <s v="No"/>
  </r>
  <r>
    <s v="21781A3325"/>
    <s v="Keerthi"/>
    <x v="5"/>
    <n v="83.88"/>
    <x v="0"/>
    <n v="5.93"/>
    <s v="3rd Year"/>
    <s v="Passed"/>
    <s v="No"/>
    <s v="No"/>
  </r>
  <r>
    <s v="23781A3309"/>
    <s v="Manoj"/>
    <x v="2"/>
    <n v="94.24"/>
    <x v="0"/>
    <n v="9.1999999999999993"/>
    <s v="1st Year"/>
    <s v="Passed"/>
    <s v="No"/>
    <s v="No"/>
  </r>
  <r>
    <s v="21781A3326"/>
    <s v="Saneeth"/>
    <x v="4"/>
    <n v="98.9"/>
    <x v="0"/>
    <n v="9.25"/>
    <s v="3rd Year"/>
    <s v="Passed"/>
    <s v="No"/>
    <s v="No"/>
  </r>
  <r>
    <s v="20781A3341"/>
    <s v="Keerthi"/>
    <x v="2"/>
    <n v="66.06"/>
    <x v="0"/>
    <n v="9.15"/>
    <s v="4th Year"/>
    <s v="Passed"/>
    <s v="Yes"/>
    <s v="No"/>
  </r>
  <r>
    <s v="22781A3322"/>
    <s v="Lakshmi"/>
    <x v="0"/>
    <n v="64.5"/>
    <x v="0"/>
    <n v="8.67"/>
    <s v="2nd Year"/>
    <s v="Passed"/>
    <s v="No"/>
    <s v="Yes"/>
  </r>
  <r>
    <s v="23781A3310"/>
    <s v="Bhavya"/>
    <x v="1"/>
    <n v="61.43"/>
    <x v="0"/>
    <n v="6.03"/>
    <s v="1st Year"/>
    <s v="Passed"/>
    <s v="No"/>
    <s v="Yes"/>
  </r>
  <r>
    <s v="22781A3323"/>
    <s v="Harini"/>
    <x v="4"/>
    <n v="85.25"/>
    <x v="0"/>
    <n v="9.58"/>
    <s v="2nd Year"/>
    <s v="Passed"/>
    <s v="No"/>
    <s v="No"/>
  </r>
  <r>
    <s v="20781A3342"/>
    <s v="Kavya"/>
    <x v="3"/>
    <n v="78.44"/>
    <x v="0"/>
    <n v="7.22"/>
    <s v="4th Year"/>
    <s v="Passed"/>
    <s v="No"/>
    <s v="No"/>
  </r>
  <r>
    <s v="21781A3327"/>
    <s v="Chaitanya"/>
    <x v="2"/>
    <n v="72.39"/>
    <x v="1"/>
    <n v="6.76"/>
    <s v="3rd Year"/>
    <s v="Machine Learning"/>
    <s v="Yes"/>
    <s v="No"/>
  </r>
  <r>
    <s v="22781A3324"/>
    <s v="Raghava"/>
    <x v="1"/>
    <n v="96.62"/>
    <x v="0"/>
    <n v="6.23"/>
    <s v="2nd Year"/>
    <s v="Passed"/>
    <s v="No"/>
    <s v="No"/>
  </r>
  <r>
    <s v="22781A3325"/>
    <s v="Pavan"/>
    <x v="2"/>
    <n v="98.47"/>
    <x v="0"/>
    <n v="8.4700000000000006"/>
    <s v="2nd Year"/>
    <s v="Passed"/>
    <s v="No"/>
    <s v="No"/>
  </r>
  <r>
    <s v="20781A3343"/>
    <s v="Deepika"/>
    <x v="3"/>
    <n v="91.07"/>
    <x v="0"/>
    <n v="5.71"/>
    <s v="4th Year"/>
    <s v="Passed"/>
    <s v="No"/>
    <s v="No"/>
  </r>
  <r>
    <s v="21781A3328"/>
    <s v="Swathi"/>
    <x v="0"/>
    <n v="69.33"/>
    <x v="0"/>
    <n v="7.99"/>
    <s v="3rd Year"/>
    <s v="Passed"/>
    <s v="Yes"/>
    <s v="No"/>
  </r>
  <r>
    <s v="21781A3329"/>
    <s v="Pavan"/>
    <x v="2"/>
    <n v="79.98"/>
    <x v="0"/>
    <n v="6.47"/>
    <s v="3rd Year"/>
    <s v="Passed"/>
    <s v="No"/>
    <s v="No"/>
  </r>
  <r>
    <s v="20781A3344"/>
    <s v="Rohit"/>
    <x v="2"/>
    <n v="74.790000000000006"/>
    <x v="1"/>
    <n v="9.4"/>
    <s v="4th Year"/>
    <s v="Deep Learning"/>
    <s v="Yes"/>
    <s v="No"/>
  </r>
  <r>
    <s v="21781A3330"/>
    <s v="Raghava"/>
    <x v="1"/>
    <n v="80.17"/>
    <x v="0"/>
    <n v="7.31"/>
    <s v="3rd Year"/>
    <s v="Passed"/>
    <s v="No"/>
    <s v="No"/>
  </r>
  <r>
    <s v="22781A3326"/>
    <s v="Rahul"/>
    <x v="3"/>
    <n v="68.77"/>
    <x v="0"/>
    <n v="5.84"/>
    <s v="2nd Year"/>
    <s v="Passed"/>
    <s v="Yes"/>
    <s v="No"/>
  </r>
  <r>
    <s v="20781A3345"/>
    <s v="Deepika"/>
    <x v="3"/>
    <n v="80.61"/>
    <x v="0"/>
    <n v="6.62"/>
    <s v="4th Year"/>
    <s v="Passed"/>
    <s v="No"/>
    <s v="No"/>
  </r>
  <r>
    <s v="23781A3311"/>
    <s v="Harini"/>
    <x v="0"/>
    <n v="67.239999999999995"/>
    <x v="1"/>
    <n v="9.3800000000000008"/>
    <s v="1st Year"/>
    <s v="M1"/>
    <s v="Yes"/>
    <s v="No"/>
  </r>
  <r>
    <s v="23781A3312"/>
    <s v="Srinivas"/>
    <x v="4"/>
    <n v="64.84"/>
    <x v="0"/>
    <n v="7.05"/>
    <s v="1st Year"/>
    <s v="Passed"/>
    <s v="No"/>
    <s v="Yes"/>
  </r>
  <r>
    <s v="22781A3327"/>
    <s v="Naveen"/>
    <x v="0"/>
    <n v="99.5"/>
    <x v="0"/>
    <n v="8.23"/>
    <s v="2nd Year"/>
    <s v="Passed"/>
    <s v="No"/>
    <s v="No"/>
  </r>
  <r>
    <s v="20781A3346"/>
    <s v="Lokesh"/>
    <x v="2"/>
    <n v="89.78"/>
    <x v="1"/>
    <n v="5.18"/>
    <s v="4th Year"/>
    <s v="Deep Learning"/>
    <s v="No"/>
    <s v="No"/>
  </r>
  <r>
    <s v="21781A3331"/>
    <s v="Keerthi"/>
    <x v="4"/>
    <n v="67.25"/>
    <x v="0"/>
    <n v="7.04"/>
    <s v="3rd Year"/>
    <s v="Passed"/>
    <s v="Yes"/>
    <s v="No"/>
  </r>
  <r>
    <s v="20781A3347"/>
    <s v="Swathi"/>
    <x v="0"/>
    <n v="60.46"/>
    <x v="1"/>
    <n v="8.61"/>
    <s v="4th Year"/>
    <s v="Deep Learning"/>
    <s v="No"/>
    <s v="Yes"/>
  </r>
  <r>
    <s v="20781A3348"/>
    <s v="Praveen"/>
    <x v="0"/>
    <n v="96.84"/>
    <x v="0"/>
    <n v="7.52"/>
    <s v="4th Year"/>
    <s v="Passed"/>
    <s v="No"/>
    <s v="No"/>
  </r>
  <r>
    <s v="20781A3349"/>
    <s v="Rahul"/>
    <x v="2"/>
    <n v="62.4"/>
    <x v="0"/>
    <n v="8.33"/>
    <s v="4th Year"/>
    <s v="Passed"/>
    <s v="No"/>
    <s v="Yes"/>
  </r>
  <r>
    <s v="21781A3332"/>
    <s v="Mahesh"/>
    <x v="3"/>
    <n v="96.98"/>
    <x v="0"/>
    <n v="7.37"/>
    <s v="3rd Year"/>
    <s v="Passed"/>
    <s v="No"/>
    <s v="No"/>
  </r>
  <r>
    <s v="20781A3350"/>
    <s v="Keerthi"/>
    <x v="3"/>
    <n v="69.45"/>
    <x v="1"/>
    <n v="6.35"/>
    <s v="4th Year"/>
    <s v="Deep Learning"/>
    <s v="Yes"/>
    <s v="No"/>
  </r>
  <r>
    <s v="21781A3333"/>
    <s v="Tejaswini"/>
    <x v="1"/>
    <n v="75.34"/>
    <x v="0"/>
    <n v="9.59"/>
    <s v="3rd Year"/>
    <s v="Passed"/>
    <s v="No"/>
    <s v="No"/>
  </r>
  <r>
    <s v="21781A3334"/>
    <s v="Vamsi"/>
    <x v="1"/>
    <n v="69.819999999999993"/>
    <x v="0"/>
    <n v="8.9"/>
    <s v="3rd Year"/>
    <s v="Passed"/>
    <s v="Yes"/>
    <s v="No"/>
  </r>
  <r>
    <s v="21781A3335"/>
    <s v="Tejaswini"/>
    <x v="2"/>
    <n v="85.36"/>
    <x v="0"/>
    <n v="7.99"/>
    <s v="3rd Year"/>
    <s v="Passed"/>
    <s v="No"/>
    <s v="No"/>
  </r>
  <r>
    <s v="20781A3351"/>
    <s v="Deepika"/>
    <x v="1"/>
    <n v="80.92"/>
    <x v="0"/>
    <n v="5.39"/>
    <s v="4th Year"/>
    <s v="Passed"/>
    <s v="No"/>
    <s v="No"/>
  </r>
  <r>
    <s v="22781A3328"/>
    <s v="Divya"/>
    <x v="5"/>
    <n v="91.82"/>
    <x v="0"/>
    <n v="7.54"/>
    <s v="2nd Year"/>
    <s v="Passed"/>
    <s v="No"/>
    <s v="No"/>
  </r>
  <r>
    <s v="23781A3313"/>
    <s v="Nikhil"/>
    <x v="2"/>
    <n v="99.01"/>
    <x v="0"/>
    <n v="7.87"/>
    <s v="1st Year"/>
    <s v="Passed"/>
    <s v="No"/>
    <s v="No"/>
  </r>
  <r>
    <s v="20781A3352"/>
    <s v="Akhila"/>
    <x v="5"/>
    <n v="89.26"/>
    <x v="0"/>
    <n v="5.7"/>
    <s v="4th Year"/>
    <s v="Passed"/>
    <s v="No"/>
    <s v="No"/>
  </r>
  <r>
    <s v="20781A3353"/>
    <s v="Sumalatha"/>
    <x v="1"/>
    <n v="86.29"/>
    <x v="0"/>
    <n v="9.06"/>
    <s v="4th Year"/>
    <s v="Passed"/>
    <s v="No"/>
    <s v="No"/>
  </r>
  <r>
    <s v="22781A3329"/>
    <s v="Nikhil"/>
    <x v="3"/>
    <n v="64.819999999999993"/>
    <x v="0"/>
    <n v="5.63"/>
    <s v="2nd Year"/>
    <s v="Passed"/>
    <s v="No"/>
    <s v="Yes"/>
  </r>
  <r>
    <s v="22781A3330"/>
    <s v="Kavya"/>
    <x v="4"/>
    <n v="88.53"/>
    <x v="0"/>
    <n v="6.23"/>
    <s v="2nd Year"/>
    <s v="Passed"/>
    <s v="No"/>
    <s v="No"/>
  </r>
  <r>
    <s v="21781A3336"/>
    <s v="Sumalatha"/>
    <x v="5"/>
    <n v="60.05"/>
    <x v="0"/>
    <n v="5.37"/>
    <s v="3rd Year"/>
    <s v="Passed"/>
    <s v="No"/>
    <s v="Yes"/>
  </r>
  <r>
    <s v="23781A3314"/>
    <s v="Sumalatha"/>
    <x v="3"/>
    <n v="92.46"/>
    <x v="0"/>
    <n v="9.64"/>
    <s v="1st Year"/>
    <s v="Passed"/>
    <s v="No"/>
    <s v="No"/>
  </r>
  <r>
    <s v="20781A3354"/>
    <s v="Raghava"/>
    <x v="2"/>
    <n v="72.459999999999994"/>
    <x v="0"/>
    <n v="8.24"/>
    <s v="4th Year"/>
    <s v="Passed"/>
    <s v="Yes"/>
    <s v="No"/>
  </r>
  <r>
    <s v="21781A3337"/>
    <s v="Srinivas"/>
    <x v="0"/>
    <n v="86.54"/>
    <x v="0"/>
    <n v="8.25"/>
    <s v="3rd Year"/>
    <s v="Passed"/>
    <s v="No"/>
    <s v="No"/>
  </r>
  <r>
    <s v="20781A3355"/>
    <s v="Mahesh"/>
    <x v="4"/>
    <n v="87.4"/>
    <x v="0"/>
    <n v="6.47"/>
    <s v="4th Year"/>
    <s v="Passed"/>
    <s v="No"/>
    <s v="No"/>
  </r>
  <r>
    <s v="20781A3356"/>
    <s v="Naveen"/>
    <x v="4"/>
    <n v="99.65"/>
    <x v="1"/>
    <n v="6.5"/>
    <s v="4th Year"/>
    <s v="Deep Learning"/>
    <s v="No"/>
    <s v="No"/>
  </r>
  <r>
    <s v="21781A3338"/>
    <s v="Mahesh"/>
    <x v="1"/>
    <n v="84.44"/>
    <x v="0"/>
    <n v="7.17"/>
    <s v="3rd Year"/>
    <s v="Passed"/>
    <s v="No"/>
    <s v="No"/>
  </r>
  <r>
    <s v="23781A3315"/>
    <s v="Manoj"/>
    <x v="1"/>
    <n v="80.02"/>
    <x v="0"/>
    <n v="9.16"/>
    <s v="1st Year"/>
    <s v="Passed"/>
    <s v="No"/>
    <s v="No"/>
  </r>
  <r>
    <s v="23781A3316"/>
    <s v="Divya"/>
    <x v="5"/>
    <n v="98.34"/>
    <x v="1"/>
    <n v="5.56"/>
    <s v="1st Year"/>
    <s v="M1"/>
    <s v="No"/>
    <s v="No"/>
  </r>
  <r>
    <s v="22781A3331"/>
    <s v="Rahul"/>
    <x v="3"/>
    <n v="91.51"/>
    <x v="0"/>
    <n v="8.6"/>
    <s v="2nd Year"/>
    <s v="Passed"/>
    <s v="No"/>
    <s v="No"/>
  </r>
  <r>
    <s v="20781A3357"/>
    <s v="Nikhil"/>
    <x v="3"/>
    <n v="77.58"/>
    <x v="0"/>
    <n v="6.41"/>
    <s v="4th Year"/>
    <s v="Passed"/>
    <s v="No"/>
    <s v="No"/>
  </r>
  <r>
    <s v="22781A3332"/>
    <s v="Vamsi"/>
    <x v="3"/>
    <n v="97.7"/>
    <x v="0"/>
    <n v="8.6300000000000008"/>
    <s v="2nd Year"/>
    <s v="Passed"/>
    <s v="No"/>
    <s v="No"/>
  </r>
  <r>
    <s v="20781A3358"/>
    <s v="Rahul"/>
    <x v="5"/>
    <n v="80.33"/>
    <x v="0"/>
    <n v="6.26"/>
    <s v="4th Year"/>
    <s v="Passed"/>
    <s v="No"/>
    <s v="No"/>
  </r>
  <r>
    <s v="21781A3339"/>
    <s v="Rohit"/>
    <x v="0"/>
    <n v="88.95"/>
    <x v="0"/>
    <n v="7.04"/>
    <s v="3rd Year"/>
    <s v="Passed"/>
    <s v="No"/>
    <s v="No"/>
  </r>
  <r>
    <s v="21781A3340"/>
    <s v="Mahesh"/>
    <x v="0"/>
    <n v="63.63"/>
    <x v="0"/>
    <n v="7.19"/>
    <s v="3rd Year"/>
    <s v="Passed"/>
    <s v="No"/>
    <s v="Yes"/>
  </r>
  <r>
    <s v="23781A3317"/>
    <s v="Swathi"/>
    <x v="2"/>
    <n v="64.16"/>
    <x v="0"/>
    <n v="6.91"/>
    <s v="1st Year"/>
    <s v="Passed"/>
    <s v="No"/>
    <s v="Yes"/>
  </r>
  <r>
    <s v="23781A3318"/>
    <s v="Bhavya"/>
    <x v="2"/>
    <n v="66.790000000000006"/>
    <x v="0"/>
    <n v="8.5299999999999994"/>
    <s v="1st Year"/>
    <s v="Passed"/>
    <s v="Yes"/>
    <s v="No"/>
  </r>
  <r>
    <s v="22781A3333"/>
    <s v="Lakshmi"/>
    <x v="3"/>
    <n v="72.930000000000007"/>
    <x v="0"/>
    <n v="5.65"/>
    <s v="2nd Year"/>
    <s v="Passed"/>
    <s v="Yes"/>
    <s v="No"/>
  </r>
  <r>
    <s v="21781A3341"/>
    <s v="Chaitanya"/>
    <x v="0"/>
    <n v="79.739999999999995"/>
    <x v="0"/>
    <n v="7.43"/>
    <s v="3rd Year"/>
    <s v="Passed"/>
    <s v="No"/>
    <s v="No"/>
  </r>
  <r>
    <s v="23781A3319"/>
    <s v="Pavan"/>
    <x v="2"/>
    <n v="84.75"/>
    <x v="0"/>
    <n v="8.18"/>
    <s v="1st Year"/>
    <s v="Passed"/>
    <s v="No"/>
    <s v="No"/>
  </r>
  <r>
    <s v="22781A3334"/>
    <s v="Sindhu"/>
    <x v="2"/>
    <n v="87.76"/>
    <x v="0"/>
    <n v="9.1999999999999993"/>
    <s v="2nd Year"/>
    <s v="Passed"/>
    <s v="No"/>
    <s v="No"/>
  </r>
  <r>
    <s v="22781A3335"/>
    <s v="Anjali"/>
    <x v="1"/>
    <n v="60.19"/>
    <x v="1"/>
    <n v="7.02"/>
    <s v="2nd Year"/>
    <s v="DBMS"/>
    <s v="No"/>
    <s v="Yes"/>
  </r>
  <r>
    <s v="21781A3342"/>
    <s v="Srinivas"/>
    <x v="4"/>
    <n v="87.52"/>
    <x v="0"/>
    <n v="8.39"/>
    <s v="3rd Year"/>
    <s v="Passed"/>
    <s v="No"/>
    <s v="No"/>
  </r>
  <r>
    <s v="21781A3343"/>
    <s v="Vamsi"/>
    <x v="2"/>
    <n v="91.32"/>
    <x v="0"/>
    <n v="8.73"/>
    <s v="3rd Year"/>
    <s v="Passed"/>
    <s v="No"/>
    <s v="No"/>
  </r>
  <r>
    <s v="21781A3344"/>
    <s v="Rahul"/>
    <x v="0"/>
    <n v="79.25"/>
    <x v="0"/>
    <n v="5.89"/>
    <s v="3rd Year"/>
    <s v="Passed"/>
    <s v="No"/>
    <s v="No"/>
  </r>
  <r>
    <s v="21781A3345"/>
    <s v="Sumalatha"/>
    <x v="3"/>
    <n v="70.650000000000006"/>
    <x v="0"/>
    <n v="7.98"/>
    <s v="3rd Year"/>
    <s v="Passed"/>
    <s v="Yes"/>
    <s v="No"/>
  </r>
  <r>
    <s v="23781A3320"/>
    <s v="Sumalatha"/>
    <x v="5"/>
    <n v="83.42"/>
    <x v="0"/>
    <n v="5.43"/>
    <s v="1st Year"/>
    <s v="Passed"/>
    <s v="No"/>
    <s v="No"/>
  </r>
  <r>
    <s v="20781A3359"/>
    <s v="Raghava"/>
    <x v="4"/>
    <n v="72.12"/>
    <x v="0"/>
    <n v="7.88"/>
    <s v="4th Year"/>
    <s v="Passed"/>
    <s v="Yes"/>
    <s v="No"/>
  </r>
  <r>
    <s v="22781A3336"/>
    <s v="Swathi"/>
    <x v="2"/>
    <n v="65.92"/>
    <x v="0"/>
    <n v="5.21"/>
    <s v="2nd Year"/>
    <s v="Passed"/>
    <s v="Yes"/>
    <s v="No"/>
  </r>
  <r>
    <s v="22781A3337"/>
    <s v="Rohit"/>
    <x v="3"/>
    <n v="84.25"/>
    <x v="0"/>
    <n v="6.33"/>
    <s v="2nd Year"/>
    <s v="Passed"/>
    <s v="No"/>
    <s v="No"/>
  </r>
  <r>
    <s v="20781A3360"/>
    <s v="Pavan"/>
    <x v="4"/>
    <n v="85.61"/>
    <x v="0"/>
    <n v="9.43"/>
    <s v="4th Year"/>
    <s v="Passed"/>
    <s v="No"/>
    <s v="No"/>
  </r>
  <r>
    <s v="21781A3346"/>
    <s v="Divya"/>
    <x v="4"/>
    <n v="96.08"/>
    <x v="0"/>
    <n v="7.77"/>
    <s v="3rd Year"/>
    <s v="Passed"/>
    <s v="No"/>
    <s v="No"/>
  </r>
  <r>
    <s v="23781A3321"/>
    <s v="Sindhu"/>
    <x v="1"/>
    <n v="87.74"/>
    <x v="0"/>
    <n v="7.51"/>
    <s v="1st Year"/>
    <s v="Passed"/>
    <s v="No"/>
    <s v="No"/>
  </r>
  <r>
    <s v="20781A3361"/>
    <s v="Swathi"/>
    <x v="0"/>
    <n v="76.3"/>
    <x v="0"/>
    <n v="9.36"/>
    <s v="4th Year"/>
    <s v="Passed"/>
    <s v="No"/>
    <s v="No"/>
  </r>
  <r>
    <s v="22781A3338"/>
    <s v="Bhavya"/>
    <x v="2"/>
    <n v="78.88"/>
    <x v="1"/>
    <n v="9.3699999999999992"/>
    <s v="2nd Year"/>
    <s v="DBMS"/>
    <s v="No"/>
    <s v="No"/>
  </r>
  <r>
    <s v="20781A3362"/>
    <s v="Akhila"/>
    <x v="1"/>
    <n v="77.319999999999993"/>
    <x v="0"/>
    <n v="5.94"/>
    <s v="4th Year"/>
    <s v="Passed"/>
    <s v="No"/>
    <s v="No"/>
  </r>
  <r>
    <s v="23781A3322"/>
    <s v="Suresh"/>
    <x v="4"/>
    <n v="92.99"/>
    <x v="0"/>
    <n v="5.3"/>
    <s v="1st Year"/>
    <s v="Passed"/>
    <s v="No"/>
    <s v="No"/>
  </r>
  <r>
    <s v="21781A3347"/>
    <s v="Suresh"/>
    <x v="4"/>
    <n v="99.76"/>
    <x v="0"/>
    <n v="7.52"/>
    <s v="3rd Year"/>
    <s v="Passed"/>
    <s v="No"/>
    <s v="No"/>
  </r>
  <r>
    <s v="20781A3363"/>
    <s v="Deepika"/>
    <x v="0"/>
    <n v="68.13"/>
    <x v="0"/>
    <n v="9.4499999999999993"/>
    <s v="4th Year"/>
    <s v="Passed"/>
    <s v="Yes"/>
    <s v="No"/>
  </r>
  <r>
    <s v="23781A3323"/>
    <s v="Keerthi"/>
    <x v="3"/>
    <n v="87.83"/>
    <x v="0"/>
    <n v="5.23"/>
    <s v="1st Year"/>
    <s v="Passed"/>
    <s v="No"/>
    <s v="No"/>
  </r>
  <r>
    <s v="21781A3348"/>
    <s v="Vamsi"/>
    <x v="0"/>
    <n v="96.81"/>
    <x v="0"/>
    <n v="8.67"/>
    <s v="3rd Year"/>
    <s v="Passed"/>
    <s v="No"/>
    <s v="No"/>
  </r>
  <r>
    <s v="21781A3349"/>
    <s v="Chaitanya"/>
    <x v="0"/>
    <n v="86.14"/>
    <x v="0"/>
    <n v="9.36"/>
    <s v="3rd Year"/>
    <s v="Passed"/>
    <s v="No"/>
    <s v="No"/>
  </r>
  <r>
    <s v="22781A3339"/>
    <s v="Harini"/>
    <x v="3"/>
    <n v="60.08"/>
    <x v="0"/>
    <n v="5.13"/>
    <s v="2nd Year"/>
    <s v="Passed"/>
    <s v="No"/>
    <s v="Yes"/>
  </r>
  <r>
    <s v="20781A3364"/>
    <s v="Deepika"/>
    <x v="3"/>
    <n v="86.44"/>
    <x v="0"/>
    <n v="8.76"/>
    <s v="4th Year"/>
    <s v="Passed"/>
    <s v="No"/>
    <s v="No"/>
  </r>
  <r>
    <s v="23781A3324"/>
    <s v="Mahesh"/>
    <x v="0"/>
    <n v="88.4"/>
    <x v="0"/>
    <n v="7.8"/>
    <s v="1st Year"/>
    <s v="Passed"/>
    <s v="No"/>
    <s v="No"/>
  </r>
  <r>
    <s v="23781A3325"/>
    <s v="Rahul"/>
    <x v="2"/>
    <n v="99.9"/>
    <x v="0"/>
    <n v="7.24"/>
    <s v="1st Year"/>
    <s v="Passed"/>
    <s v="No"/>
    <s v="No"/>
  </r>
  <r>
    <s v="20781A3365"/>
    <s v="Sumalatha"/>
    <x v="0"/>
    <n v="61.18"/>
    <x v="0"/>
    <n v="5.71"/>
    <s v="4th Year"/>
    <s v="Passed"/>
    <s v="No"/>
    <s v="Yes"/>
  </r>
  <r>
    <s v="21781A3350"/>
    <s v="Praveen"/>
    <x v="2"/>
    <n v="67.11"/>
    <x v="1"/>
    <n v="9.31"/>
    <s v="3rd Year"/>
    <s v="Machine Learning"/>
    <s v="Yes"/>
    <s v="No"/>
  </r>
  <r>
    <s v="21781A3351"/>
    <s v="Deepika"/>
    <x v="3"/>
    <n v="79.63"/>
    <x v="0"/>
    <n v="6.18"/>
    <s v="3rd Year"/>
    <s v="Passed"/>
    <s v="No"/>
    <s v="No"/>
  </r>
  <r>
    <s v="22781A3340"/>
    <s v="Sumalatha"/>
    <x v="3"/>
    <n v="92.26"/>
    <x v="0"/>
    <n v="7.16"/>
    <s v="2nd Year"/>
    <s v="Passed"/>
    <s v="No"/>
    <s v="No"/>
  </r>
  <r>
    <s v="20781A3366"/>
    <s v="Sumalatha"/>
    <x v="5"/>
    <n v="69.63"/>
    <x v="1"/>
    <n v="7.6"/>
    <s v="4th Year"/>
    <s v="Deep Learning"/>
    <s v="Yes"/>
    <s v="No"/>
  </r>
  <r>
    <s v="20781A3367"/>
    <s v="Raghava"/>
    <x v="4"/>
    <n v="76.97"/>
    <x v="0"/>
    <n v="6.85"/>
    <s v="4th Year"/>
    <s v="Passed"/>
    <s v="No"/>
    <s v="No"/>
  </r>
  <r>
    <s v="21781A3352"/>
    <s v="Naveen"/>
    <x v="3"/>
    <n v="82.44"/>
    <x v="0"/>
    <n v="6.38"/>
    <s v="3rd Year"/>
    <s v="Passed"/>
    <s v="No"/>
    <s v="No"/>
  </r>
  <r>
    <s v="22781A3341"/>
    <s v="Srinivas"/>
    <x v="2"/>
    <n v="94.45"/>
    <x v="0"/>
    <n v="9.59"/>
    <s v="2nd Year"/>
    <s v="Passed"/>
    <s v="No"/>
    <s v="No"/>
  </r>
  <r>
    <s v="20781A3368"/>
    <s v="Tejaswini"/>
    <x v="5"/>
    <n v="64.180000000000007"/>
    <x v="0"/>
    <n v="6.97"/>
    <s v="4th Year"/>
    <s v="Passed"/>
    <s v="No"/>
    <s v="Yes"/>
  </r>
  <r>
    <s v="20781A3369"/>
    <s v="Mahesh"/>
    <x v="5"/>
    <n v="76.3"/>
    <x v="0"/>
    <n v="9.57"/>
    <s v="4th Year"/>
    <s v="Passed"/>
    <s v="No"/>
    <s v="No"/>
  </r>
  <r>
    <s v="22781A3342"/>
    <s v="Suresh"/>
    <x v="2"/>
    <n v="77.05"/>
    <x v="0"/>
    <n v="6.4"/>
    <s v="2nd Year"/>
    <s v="Passed"/>
    <s v="No"/>
    <s v="No"/>
  </r>
  <r>
    <s v="21781A3353"/>
    <s v="Pavan"/>
    <x v="3"/>
    <n v="62.43"/>
    <x v="0"/>
    <n v="5.08"/>
    <s v="3rd Year"/>
    <s v="Passed"/>
    <s v="No"/>
    <s v="Yes"/>
  </r>
  <r>
    <s v="22781A3343"/>
    <s v="Raghava"/>
    <x v="4"/>
    <n v="99.66"/>
    <x v="0"/>
    <n v="5.0199999999999996"/>
    <s v="2nd Year"/>
    <s v="Passed"/>
    <s v="No"/>
    <s v="No"/>
  </r>
  <r>
    <s v="22781A3344"/>
    <s v="Chaitanya"/>
    <x v="0"/>
    <n v="70.33"/>
    <x v="1"/>
    <n v="5.66"/>
    <s v="2nd Year"/>
    <s v="DBMS"/>
    <s v="Yes"/>
    <s v="No"/>
  </r>
  <r>
    <s v="22781A3345"/>
    <s v="Rohit"/>
    <x v="1"/>
    <n v="92.92"/>
    <x v="0"/>
    <n v="5.25"/>
    <s v="2nd Year"/>
    <s v="Passed"/>
    <s v="No"/>
    <s v="No"/>
  </r>
  <r>
    <s v="23781A3326"/>
    <s v="Lakshmi"/>
    <x v="3"/>
    <n v="81.31"/>
    <x v="0"/>
    <n v="6.02"/>
    <s v="1st Year"/>
    <s v="Passed"/>
    <s v="No"/>
    <s v="No"/>
  </r>
  <r>
    <s v="23781A3327"/>
    <s v="Srinivas"/>
    <x v="4"/>
    <n v="83.71"/>
    <x v="0"/>
    <n v="8.91"/>
    <s v="1st Year"/>
    <s v="Passed"/>
    <s v="No"/>
    <s v="No"/>
  </r>
  <r>
    <s v="20781A3370"/>
    <s v="Harini"/>
    <x v="2"/>
    <n v="94.98"/>
    <x v="0"/>
    <n v="8.1"/>
    <s v="4th Year"/>
    <s v="Passed"/>
    <s v="No"/>
    <s v="No"/>
  </r>
  <r>
    <s v="23781A3328"/>
    <s v="Srinivas"/>
    <x v="3"/>
    <n v="65.64"/>
    <x v="0"/>
    <n v="5.94"/>
    <s v="1st Year"/>
    <s v="Passed"/>
    <s v="Yes"/>
    <s v="No"/>
  </r>
  <r>
    <s v="21781A3354"/>
    <s v="Suresh"/>
    <x v="0"/>
    <n v="69.16"/>
    <x v="1"/>
    <n v="6.35"/>
    <s v="3rd Year"/>
    <s v="Machine Learning"/>
    <s v="Yes"/>
    <s v="No"/>
  </r>
  <r>
    <s v="22781A3346"/>
    <s v="Akhila"/>
    <x v="4"/>
    <n v="75.52"/>
    <x v="0"/>
    <n v="9.6300000000000008"/>
    <s v="2nd Year"/>
    <s v="Passed"/>
    <s v="No"/>
    <s v="No"/>
  </r>
  <r>
    <s v="21781A3355"/>
    <s v="Suresh"/>
    <x v="5"/>
    <n v="78.27"/>
    <x v="0"/>
    <n v="7.65"/>
    <s v="3rd Year"/>
    <s v="Passed"/>
    <s v="No"/>
    <s v="No"/>
  </r>
  <r>
    <s v="23781A3329"/>
    <s v="Rohit"/>
    <x v="3"/>
    <n v="68.59"/>
    <x v="0"/>
    <n v="9.58"/>
    <s v="1st Year"/>
    <s v="Passed"/>
    <s v="Yes"/>
    <s v="No"/>
  </r>
  <r>
    <s v="20781A3371"/>
    <s v="Sindhu"/>
    <x v="3"/>
    <n v="73.62"/>
    <x v="1"/>
    <n v="5.56"/>
    <s v="4th Year"/>
    <s v="Deep Learning"/>
    <s v="Yes"/>
    <s v="No"/>
  </r>
  <r>
    <s v="21781A3356"/>
    <s v="Nikhil"/>
    <x v="2"/>
    <n v="83.22"/>
    <x v="0"/>
    <n v="7.28"/>
    <s v="3rd Year"/>
    <s v="Passed"/>
    <s v="No"/>
    <s v="No"/>
  </r>
  <r>
    <s v="20781A3372"/>
    <s v="Divya"/>
    <x v="2"/>
    <n v="87.87"/>
    <x v="0"/>
    <n v="9.4700000000000006"/>
    <s v="4th Year"/>
    <s v="Passed"/>
    <s v="No"/>
    <s v="No"/>
  </r>
  <r>
    <s v="22781A3347"/>
    <s v="Srinivas"/>
    <x v="1"/>
    <n v="62.42"/>
    <x v="0"/>
    <n v="8.52"/>
    <s v="2nd Year"/>
    <s v="Passed"/>
    <s v="No"/>
    <s v="Yes"/>
  </r>
  <r>
    <s v="23781A3330"/>
    <s v="Manoj"/>
    <x v="2"/>
    <n v="69.3"/>
    <x v="0"/>
    <n v="6.15"/>
    <s v="1st Year"/>
    <s v="Passed"/>
    <s v="Yes"/>
    <s v="No"/>
  </r>
  <r>
    <s v="23781A3331"/>
    <s v="Bhavya"/>
    <x v="3"/>
    <n v="79.05"/>
    <x v="0"/>
    <n v="9.51"/>
    <s v="1st Year"/>
    <s v="Passed"/>
    <s v="No"/>
    <s v="No"/>
  </r>
  <r>
    <s v="23781A3332"/>
    <s v="Akhila"/>
    <x v="1"/>
    <n v="70.28"/>
    <x v="0"/>
    <n v="8.58"/>
    <s v="1st Year"/>
    <s v="Passed"/>
    <s v="Yes"/>
    <s v="No"/>
  </r>
  <r>
    <s v="22781A3348"/>
    <s v="Kavya"/>
    <x v="0"/>
    <n v="68.84"/>
    <x v="0"/>
    <n v="5.94"/>
    <s v="2nd Year"/>
    <s v="Passed"/>
    <s v="Yes"/>
    <s v="No"/>
  </r>
  <r>
    <s v="22781A3349"/>
    <s v="Keerthi"/>
    <x v="4"/>
    <n v="90.62"/>
    <x v="1"/>
    <n v="5.61"/>
    <s v="2nd Year"/>
    <s v="DBMS"/>
    <s v="No"/>
    <s v="No"/>
  </r>
  <r>
    <s v="22781A3350"/>
    <s v="Anjali"/>
    <x v="2"/>
    <n v="84.87"/>
    <x v="0"/>
    <n v="5.83"/>
    <s v="2nd Year"/>
    <s v="Passed"/>
    <s v="No"/>
    <s v="No"/>
  </r>
  <r>
    <s v="20781A3373"/>
    <s v="Naveen"/>
    <x v="0"/>
    <n v="81.7"/>
    <x v="0"/>
    <n v="5.59"/>
    <s v="4th Year"/>
    <s v="Passed"/>
    <s v="No"/>
    <s v="No"/>
  </r>
  <r>
    <s v="21781A3357"/>
    <s v="Deepika"/>
    <x v="2"/>
    <n v="64.3"/>
    <x v="0"/>
    <n v="7.67"/>
    <s v="3rd Year"/>
    <s v="Passed"/>
    <s v="No"/>
    <s v="Yes"/>
  </r>
  <r>
    <s v="22781A3351"/>
    <s v="Kiran"/>
    <x v="1"/>
    <n v="99.41"/>
    <x v="1"/>
    <n v="5.48"/>
    <s v="2nd Year"/>
    <s v="DBMS"/>
    <s v="No"/>
    <s v="No"/>
  </r>
  <r>
    <s v="21781A3358"/>
    <s v="Sindhu"/>
    <x v="3"/>
    <n v="77.92"/>
    <x v="0"/>
    <n v="8.34"/>
    <s v="3rd Year"/>
    <s v="Passed"/>
    <s v="No"/>
    <s v="No"/>
  </r>
  <r>
    <s v="21781A3359"/>
    <s v="Raghava"/>
    <x v="3"/>
    <n v="68.48"/>
    <x v="0"/>
    <n v="6.06"/>
    <s v="3rd Year"/>
    <s v="Passed"/>
    <s v="Yes"/>
    <s v="No"/>
  </r>
  <r>
    <s v="21781A3360"/>
    <s v="Kiran"/>
    <x v="2"/>
    <n v="76.98"/>
    <x v="0"/>
    <n v="6.39"/>
    <s v="3rd Year"/>
    <s v="Passed"/>
    <s v="No"/>
    <s v="No"/>
  </r>
  <r>
    <s v="23781A3333"/>
    <s v="Naveen"/>
    <x v="4"/>
    <n v="93.43"/>
    <x v="0"/>
    <n v="7.58"/>
    <s v="1st Year"/>
    <s v="Passed"/>
    <s v="No"/>
    <s v="No"/>
  </r>
  <r>
    <s v="21781A3361"/>
    <s v="Lakshmi"/>
    <x v="0"/>
    <n v="80.69"/>
    <x v="0"/>
    <n v="9"/>
    <s v="3rd Year"/>
    <s v="Passed"/>
    <s v="No"/>
    <s v="No"/>
  </r>
  <r>
    <s v="21781A3362"/>
    <s v="Saneeth"/>
    <x v="4"/>
    <n v="91.54"/>
    <x v="0"/>
    <n v="8.84"/>
    <s v="3rd Year"/>
    <s v="Passed"/>
    <s v="No"/>
    <s v="No"/>
  </r>
  <r>
    <s v="23781A3334"/>
    <s v="Praveen"/>
    <x v="2"/>
    <n v="99.54"/>
    <x v="0"/>
    <n v="7.79"/>
    <s v="1st Year"/>
    <s v="Passed"/>
    <s v="No"/>
    <s v="No"/>
  </r>
  <r>
    <s v="21781A3363"/>
    <s v="Lakshmi"/>
    <x v="2"/>
    <n v="62.8"/>
    <x v="0"/>
    <n v="6.05"/>
    <s v="3rd Year"/>
    <s v="Passed"/>
    <s v="No"/>
    <s v="Yes"/>
  </r>
  <r>
    <s v="21781A3364"/>
    <s v="Rahul"/>
    <x v="1"/>
    <n v="60.29"/>
    <x v="0"/>
    <n v="6.88"/>
    <s v="3rd Year"/>
    <s v="Passed"/>
    <s v="No"/>
    <s v="Yes"/>
  </r>
  <r>
    <s v="22781A3352"/>
    <s v="Harini"/>
    <x v="3"/>
    <n v="74.41"/>
    <x v="0"/>
    <n v="9.66"/>
    <s v="2nd Year"/>
    <s v="Passed"/>
    <s v="Yes"/>
    <s v="No"/>
  </r>
  <r>
    <s v="20781A3374"/>
    <s v="Kiran"/>
    <x v="3"/>
    <n v="94.95"/>
    <x v="1"/>
    <n v="8.43"/>
    <s v="4th Year"/>
    <s v="Deep Learning"/>
    <s v="No"/>
    <s v="No"/>
  </r>
  <r>
    <s v="22781A3353"/>
    <s v="Chaitanya"/>
    <x v="3"/>
    <n v="63.1"/>
    <x v="0"/>
    <n v="5.66"/>
    <s v="2nd Year"/>
    <s v="Passed"/>
    <s v="No"/>
    <s v="Yes"/>
  </r>
  <r>
    <s v="20781A3375"/>
    <s v="Mahesh"/>
    <x v="2"/>
    <n v="73.8"/>
    <x v="0"/>
    <n v="5.07"/>
    <s v="4th Year"/>
    <s v="Passed"/>
    <s v="Yes"/>
    <s v="No"/>
  </r>
  <r>
    <s v="20781A3376"/>
    <s v="Bhavya"/>
    <x v="5"/>
    <n v="71.099999999999994"/>
    <x v="0"/>
    <n v="7.71"/>
    <s v="4th Year"/>
    <s v="Passed"/>
    <s v="Yes"/>
    <s v="No"/>
  </r>
  <r>
    <s v="20781A3377"/>
    <s v="Suresh"/>
    <x v="5"/>
    <n v="65.13"/>
    <x v="0"/>
    <n v="9.14"/>
    <s v="4th Year"/>
    <s v="Passed"/>
    <s v="Yes"/>
    <s v="No"/>
  </r>
  <r>
    <s v="21781A3365"/>
    <s v="Priya"/>
    <x v="2"/>
    <n v="80.23"/>
    <x v="0"/>
    <n v="5.35"/>
    <s v="3rd Year"/>
    <s v="Passed"/>
    <s v="No"/>
    <s v="No"/>
  </r>
  <r>
    <s v="23781A3335"/>
    <s v="Lakshmi"/>
    <x v="0"/>
    <n v="92.1"/>
    <x v="1"/>
    <n v="8.74"/>
    <s v="1st Year"/>
    <s v="M1"/>
    <s v="No"/>
    <s v="No"/>
  </r>
  <r>
    <s v="21781A3366"/>
    <s v="Saneeth"/>
    <x v="1"/>
    <n v="82.6"/>
    <x v="1"/>
    <n v="9.33"/>
    <s v="3rd Year"/>
    <s v="Machine Learning"/>
    <s v="No"/>
    <s v="No"/>
  </r>
  <r>
    <s v="22781A3354"/>
    <s v="Pavan"/>
    <x v="3"/>
    <n v="80.540000000000006"/>
    <x v="0"/>
    <n v="5.69"/>
    <s v="2nd Year"/>
    <s v="Passed"/>
    <s v="No"/>
    <s v="No"/>
  </r>
  <r>
    <s v="21781A3367"/>
    <s v="Bhavya"/>
    <x v="0"/>
    <n v="91.99"/>
    <x v="1"/>
    <n v="8.06"/>
    <s v="3rd Year"/>
    <s v="Machine Learning"/>
    <s v="No"/>
    <s v="No"/>
  </r>
  <r>
    <s v="20781A3378"/>
    <s v="Kavya"/>
    <x v="5"/>
    <n v="60.96"/>
    <x v="0"/>
    <n v="6.77"/>
    <s v="4th Year"/>
    <s v="Passed"/>
    <s v="No"/>
    <s v="Yes"/>
  </r>
  <r>
    <s v="21781A3368"/>
    <s v="Manoj"/>
    <x v="5"/>
    <n v="62.92"/>
    <x v="0"/>
    <n v="6.15"/>
    <s v="3rd Year"/>
    <s v="Passed"/>
    <s v="No"/>
    <s v="Yes"/>
  </r>
  <r>
    <s v="20781A3379"/>
    <s v="Keerthi"/>
    <x v="0"/>
    <n v="73.08"/>
    <x v="0"/>
    <n v="9.19"/>
    <s v="4th Year"/>
    <s v="Passed"/>
    <s v="Yes"/>
    <s v="No"/>
  </r>
  <r>
    <s v="23781A3336"/>
    <s v="Mahesh"/>
    <x v="0"/>
    <n v="68.790000000000006"/>
    <x v="0"/>
    <n v="5.64"/>
    <s v="1st Year"/>
    <s v="Passed"/>
    <s v="Yes"/>
    <s v="No"/>
  </r>
  <r>
    <s v="22781A3355"/>
    <s v="Sumalatha"/>
    <x v="3"/>
    <n v="68.209999999999994"/>
    <x v="0"/>
    <n v="7.88"/>
    <s v="2nd Year"/>
    <s v="Passed"/>
    <s v="Yes"/>
    <s v="No"/>
  </r>
  <r>
    <s v="20781A3380"/>
    <s v="Rohit"/>
    <x v="3"/>
    <n v="93.09"/>
    <x v="0"/>
    <n v="6.78"/>
    <s v="4th Year"/>
    <s v="Passed"/>
    <s v="No"/>
    <s v="No"/>
  </r>
  <r>
    <s v="23781A3337"/>
    <s v="Rahul"/>
    <x v="2"/>
    <n v="76.94"/>
    <x v="0"/>
    <n v="7.03"/>
    <s v="1st Year"/>
    <s v="Passed"/>
    <s v="No"/>
    <s v="No"/>
  </r>
  <r>
    <s v="22781A3356"/>
    <s v="Keerthi"/>
    <x v="2"/>
    <n v="69.930000000000007"/>
    <x v="0"/>
    <n v="6.06"/>
    <s v="2nd Year"/>
    <s v="Passed"/>
    <s v="Yes"/>
    <s v="No"/>
  </r>
  <r>
    <s v="20781A3381"/>
    <s v="Rahul"/>
    <x v="5"/>
    <n v="74.36"/>
    <x v="0"/>
    <n v="7.74"/>
    <s v="4th Year"/>
    <s v="Passed"/>
    <s v="Yes"/>
    <s v="No"/>
  </r>
  <r>
    <s v="20781A3382"/>
    <s v="Pavan"/>
    <x v="3"/>
    <n v="62.81"/>
    <x v="0"/>
    <n v="7.96"/>
    <s v="4th Year"/>
    <s v="Passed"/>
    <s v="No"/>
    <s v="Yes"/>
  </r>
  <r>
    <s v="20781A3383"/>
    <s v="Harini"/>
    <x v="2"/>
    <n v="76.78"/>
    <x v="0"/>
    <n v="6.31"/>
    <s v="4th Year"/>
    <s v="Passed"/>
    <s v="No"/>
    <s v="No"/>
  </r>
  <r>
    <s v="22781A3357"/>
    <s v="Praveen"/>
    <x v="1"/>
    <n v="83.85"/>
    <x v="0"/>
    <n v="7.96"/>
    <s v="2nd Year"/>
    <s v="Passed"/>
    <s v="No"/>
    <s v="No"/>
  </r>
  <r>
    <s v="20781A3384"/>
    <s v="Nikhil"/>
    <x v="4"/>
    <n v="68.28"/>
    <x v="0"/>
    <n v="8.3699999999999992"/>
    <s v="4th Year"/>
    <s v="Passed"/>
    <s v="Yes"/>
    <s v="No"/>
  </r>
  <r>
    <s v="20781A3385"/>
    <s v="Vamsi"/>
    <x v="1"/>
    <n v="89.55"/>
    <x v="0"/>
    <n v="5.05"/>
    <s v="4th Year"/>
    <s v="Passed"/>
    <s v="No"/>
    <s v="No"/>
  </r>
  <r>
    <s v="20781A3386"/>
    <s v="Tejaswini"/>
    <x v="2"/>
    <n v="84.06"/>
    <x v="0"/>
    <n v="6"/>
    <s v="4th Year"/>
    <s v="Passed"/>
    <s v="No"/>
    <s v="No"/>
  </r>
  <r>
    <s v="21781A3369"/>
    <s v="Sumalatha"/>
    <x v="3"/>
    <n v="94.69"/>
    <x v="0"/>
    <n v="9.15"/>
    <s v="3rd Year"/>
    <s v="Passed"/>
    <s v="No"/>
    <s v="No"/>
  </r>
  <r>
    <s v="23781A3338"/>
    <s v="Manoj"/>
    <x v="2"/>
    <n v="80.13"/>
    <x v="0"/>
    <n v="6.19"/>
    <s v="1st Year"/>
    <s v="Passed"/>
    <s v="No"/>
    <s v="No"/>
  </r>
  <r>
    <s v="23781A3339"/>
    <s v="Lakshmi"/>
    <x v="5"/>
    <n v="95.32"/>
    <x v="1"/>
    <n v="8.59"/>
    <s v="1st Year"/>
    <s v="M1"/>
    <s v="No"/>
    <s v="No"/>
  </r>
  <r>
    <s v="22781A3358"/>
    <s v="Srinivas"/>
    <x v="0"/>
    <n v="82.53"/>
    <x v="0"/>
    <n v="8.3000000000000007"/>
    <s v="2nd Year"/>
    <s v="Passed"/>
    <s v="No"/>
    <s v="No"/>
  </r>
  <r>
    <s v="20781A3387"/>
    <s v="Raghava"/>
    <x v="2"/>
    <n v="72.44"/>
    <x v="1"/>
    <n v="7.93"/>
    <s v="4th Year"/>
    <s v="Deep Learning"/>
    <s v="Yes"/>
    <s v="No"/>
  </r>
  <r>
    <s v="21781A3370"/>
    <s v="Kavya"/>
    <x v="0"/>
    <n v="80.84"/>
    <x v="0"/>
    <n v="6.71"/>
    <s v="3rd Year"/>
    <s v="Passed"/>
    <s v="No"/>
    <s v="No"/>
  </r>
  <r>
    <s v="23781A3340"/>
    <s v="Anjali"/>
    <x v="1"/>
    <n v="72.180000000000007"/>
    <x v="1"/>
    <n v="9.2200000000000006"/>
    <s v="1st Year"/>
    <s v="M1"/>
    <s v="Yes"/>
    <s v="No"/>
  </r>
  <r>
    <s v="21781A3371"/>
    <s v="Swathi"/>
    <x v="3"/>
    <n v="69.72"/>
    <x v="0"/>
    <n v="7.82"/>
    <s v="3rd Year"/>
    <s v="Passed"/>
    <s v="Yes"/>
    <s v="No"/>
  </r>
  <r>
    <s v="20781A3388"/>
    <s v="Sindhu"/>
    <x v="0"/>
    <n v="87.41"/>
    <x v="0"/>
    <n v="5.37"/>
    <s v="4th Year"/>
    <s v="Passed"/>
    <s v="No"/>
    <s v="No"/>
  </r>
  <r>
    <s v="21781A3372"/>
    <s v="Chaitanya"/>
    <x v="0"/>
    <n v="90.8"/>
    <x v="0"/>
    <n v="9.5299999999999994"/>
    <s v="3rd Year"/>
    <s v="Passed"/>
    <s v="No"/>
    <s v="No"/>
  </r>
  <r>
    <s v="23781A3341"/>
    <s v="Sumalatha"/>
    <x v="2"/>
    <n v="62.19"/>
    <x v="0"/>
    <n v="6.95"/>
    <s v="1st Year"/>
    <s v="Passed"/>
    <s v="No"/>
    <s v="Yes"/>
  </r>
  <r>
    <s v="20781A3389"/>
    <s v="Deepika"/>
    <x v="2"/>
    <n v="71.25"/>
    <x v="0"/>
    <n v="8.1"/>
    <s v="4th Year"/>
    <s v="Passed"/>
    <s v="Yes"/>
    <s v="No"/>
  </r>
  <r>
    <s v="20781A3390"/>
    <s v="Lokesh"/>
    <x v="0"/>
    <n v="62.13"/>
    <x v="0"/>
    <n v="6.55"/>
    <s v="4th Year"/>
    <s v="Passed"/>
    <s v="No"/>
    <s v="Yes"/>
  </r>
  <r>
    <s v="20781A3391"/>
    <s v="Saneeth"/>
    <x v="2"/>
    <n v="61.42"/>
    <x v="0"/>
    <n v="8.4"/>
    <s v="4th Year"/>
    <s v="Passed"/>
    <s v="No"/>
    <s v="Yes"/>
  </r>
  <r>
    <s v="21781A3373"/>
    <s v="Praveen"/>
    <x v="1"/>
    <n v="87.29"/>
    <x v="0"/>
    <n v="7.18"/>
    <s v="3rd Year"/>
    <s v="Passed"/>
    <s v="No"/>
    <s v="No"/>
  </r>
  <r>
    <s v="22781A3359"/>
    <s v="Sindhu"/>
    <x v="0"/>
    <n v="86.75"/>
    <x v="0"/>
    <n v="5.2"/>
    <s v="2nd Year"/>
    <s v="Passed"/>
    <s v="No"/>
    <s v="No"/>
  </r>
  <r>
    <s v="21781A3374"/>
    <s v="Naveen"/>
    <x v="1"/>
    <n v="98.96"/>
    <x v="0"/>
    <n v="6.63"/>
    <s v="3rd Year"/>
    <s v="Passed"/>
    <s v="No"/>
    <s v="No"/>
  </r>
  <r>
    <s v="22781A3360"/>
    <s v="Priya"/>
    <x v="4"/>
    <n v="86.28"/>
    <x v="0"/>
    <n v="6.01"/>
    <s v="2nd Year"/>
    <s v="Passed"/>
    <s v="No"/>
    <s v="No"/>
  </r>
  <r>
    <s v="21781A3375"/>
    <s v="Akhila"/>
    <x v="0"/>
    <n v="97.18"/>
    <x v="0"/>
    <n v="9.66"/>
    <s v="3rd Year"/>
    <s v="Passed"/>
    <s v="No"/>
    <s v="No"/>
  </r>
  <r>
    <s v="23781A3342"/>
    <s v="Vamsi"/>
    <x v="2"/>
    <n v="84.54"/>
    <x v="0"/>
    <n v="6.08"/>
    <s v="1st Year"/>
    <s v="Passed"/>
    <s v="No"/>
    <s v="No"/>
  </r>
  <r>
    <s v="23781A3343"/>
    <s v="Sumalatha"/>
    <x v="0"/>
    <n v="85.57"/>
    <x v="0"/>
    <n v="6.66"/>
    <s v="1st Year"/>
    <s v="Passed"/>
    <s v="No"/>
    <s v="No"/>
  </r>
  <r>
    <s v="20781A3392"/>
    <s v="Anjali"/>
    <x v="4"/>
    <n v="70.45"/>
    <x v="0"/>
    <n v="8.1199999999999992"/>
    <s v="4th Year"/>
    <s v="Passed"/>
    <s v="Yes"/>
    <s v="No"/>
  </r>
  <r>
    <s v="21781A3376"/>
    <s v="Mahesh"/>
    <x v="2"/>
    <n v="85.48"/>
    <x v="0"/>
    <n v="5.86"/>
    <s v="3rd Year"/>
    <s v="Passed"/>
    <s v="No"/>
    <s v="No"/>
  </r>
  <r>
    <s v="23781A3344"/>
    <s v="Harini"/>
    <x v="3"/>
    <n v="86.34"/>
    <x v="0"/>
    <n v="6.37"/>
    <s v="1st Year"/>
    <s v="Passed"/>
    <s v="No"/>
    <s v="No"/>
  </r>
  <r>
    <s v="21781A3377"/>
    <s v="Pavan"/>
    <x v="3"/>
    <n v="64.790000000000006"/>
    <x v="0"/>
    <n v="5.74"/>
    <s v="3rd Year"/>
    <s v="Passed"/>
    <s v="No"/>
    <s v="Yes"/>
  </r>
  <r>
    <s v="20781A3393"/>
    <s v="Suresh"/>
    <x v="0"/>
    <n v="98.59"/>
    <x v="0"/>
    <n v="7.83"/>
    <s v="4th Year"/>
    <s v="Passed"/>
    <s v="No"/>
    <s v="No"/>
  </r>
  <r>
    <s v="20781A3394"/>
    <s v="Anjali"/>
    <x v="3"/>
    <n v="65.040000000000006"/>
    <x v="1"/>
    <n v="7.4"/>
    <s v="4th Year"/>
    <s v="Deep Learning"/>
    <s v="Yes"/>
    <s v="No"/>
  </r>
  <r>
    <s v="23781A3345"/>
    <s v="Saneeth"/>
    <x v="3"/>
    <n v="68.7"/>
    <x v="0"/>
    <n v="8.82"/>
    <s v="1st Year"/>
    <s v="Passed"/>
    <s v="Yes"/>
    <s v="No"/>
  </r>
  <r>
    <s v="23781A3346"/>
    <s v="Bhavya"/>
    <x v="4"/>
    <n v="85.43"/>
    <x v="0"/>
    <n v="6.13"/>
    <s v="1st Year"/>
    <s v="Passed"/>
    <s v="No"/>
    <s v="No"/>
  </r>
  <r>
    <s v="22781A3361"/>
    <s v="Priya"/>
    <x v="4"/>
    <n v="89.53"/>
    <x v="0"/>
    <n v="5.95"/>
    <s v="2nd Year"/>
    <s v="Passed"/>
    <s v="No"/>
    <s v="No"/>
  </r>
  <r>
    <s v="20781A3395"/>
    <s v="Suresh"/>
    <x v="1"/>
    <n v="68.16"/>
    <x v="0"/>
    <n v="6.76"/>
    <s v="4th Year"/>
    <s v="Passed"/>
    <s v="Yes"/>
    <s v="No"/>
  </r>
  <r>
    <s v="22781A3362"/>
    <s v="Sindhu"/>
    <x v="1"/>
    <n v="94.53"/>
    <x v="0"/>
    <n v="9.61"/>
    <s v="2nd Year"/>
    <s v="Passed"/>
    <s v="No"/>
    <s v="No"/>
  </r>
  <r>
    <s v="22781A3363"/>
    <s v="Rahul"/>
    <x v="1"/>
    <n v="68.709999999999994"/>
    <x v="0"/>
    <n v="9.5500000000000007"/>
    <s v="2nd Year"/>
    <s v="Passed"/>
    <s v="Yes"/>
    <s v="No"/>
  </r>
  <r>
    <s v="21781A3378"/>
    <s v="Mahesh"/>
    <x v="2"/>
    <n v="83.17"/>
    <x v="0"/>
    <n v="8.1"/>
    <s v="3rd Year"/>
    <s v="Passed"/>
    <s v="No"/>
    <s v="No"/>
  </r>
  <r>
    <s v="22781A3364"/>
    <s v="Sumalatha"/>
    <x v="4"/>
    <n v="92.16"/>
    <x v="0"/>
    <n v="9.1199999999999992"/>
    <s v="2nd Year"/>
    <s v="Passed"/>
    <s v="No"/>
    <s v="No"/>
  </r>
  <r>
    <s v="23781A3347"/>
    <s v="Rahul"/>
    <x v="3"/>
    <n v="88.12"/>
    <x v="0"/>
    <n v="7.18"/>
    <s v="1st Year"/>
    <s v="Passed"/>
    <s v="No"/>
    <s v="No"/>
  </r>
  <r>
    <s v="22781A3365"/>
    <s v="Srinivas"/>
    <x v="5"/>
    <n v="76.44"/>
    <x v="0"/>
    <n v="9.74"/>
    <s v="2nd Year"/>
    <s v="Passed"/>
    <s v="No"/>
    <s v="No"/>
  </r>
  <r>
    <s v="20781A3396"/>
    <s v="Lakshmi"/>
    <x v="1"/>
    <n v="76.959999999999994"/>
    <x v="0"/>
    <n v="8.68"/>
    <s v="4th Year"/>
    <s v="Passed"/>
    <s v="No"/>
    <s v="No"/>
  </r>
  <r>
    <s v="22781A3366"/>
    <s v="Rohit"/>
    <x v="5"/>
    <n v="83"/>
    <x v="0"/>
    <n v="5.41"/>
    <s v="2nd Year"/>
    <s v="Passed"/>
    <s v="No"/>
    <s v="No"/>
  </r>
  <r>
    <s v="23781A3348"/>
    <s v="Manoj"/>
    <x v="1"/>
    <n v="94.44"/>
    <x v="0"/>
    <n v="7.3"/>
    <s v="1st Year"/>
    <s v="Passed"/>
    <s v="No"/>
    <s v="No"/>
  </r>
  <r>
    <s v="21781A3379"/>
    <s v="Vamsi"/>
    <x v="0"/>
    <n v="66.14"/>
    <x v="0"/>
    <n v="8.0299999999999994"/>
    <s v="3rd Year"/>
    <s v="Passed"/>
    <s v="Yes"/>
    <s v="No"/>
  </r>
  <r>
    <s v="23781A3349"/>
    <s v="Anjali"/>
    <x v="3"/>
    <n v="75.17"/>
    <x v="0"/>
    <n v="6.83"/>
    <s v="1st Year"/>
    <s v="Passed"/>
    <s v="No"/>
    <s v="No"/>
  </r>
  <r>
    <s v="23781A3350"/>
    <s v="Sindhu"/>
    <x v="2"/>
    <n v="89.93"/>
    <x v="0"/>
    <n v="7.91"/>
    <s v="1st Year"/>
    <s v="Passed"/>
    <s v="No"/>
    <s v="No"/>
  </r>
  <r>
    <s v="22781A3367"/>
    <s v="Kiran"/>
    <x v="0"/>
    <n v="81.14"/>
    <x v="0"/>
    <n v="7.29"/>
    <s v="2nd Year"/>
    <s v="Passed"/>
    <s v="No"/>
    <s v="No"/>
  </r>
  <r>
    <s v="21781A3380"/>
    <s v="Suresh"/>
    <x v="4"/>
    <n v="87.51"/>
    <x v="0"/>
    <n v="6.46"/>
    <s v="3rd Year"/>
    <s v="Passed"/>
    <s v="No"/>
    <s v="No"/>
  </r>
  <r>
    <s v="23781A3351"/>
    <s v="Saneeth"/>
    <x v="1"/>
    <n v="86.7"/>
    <x v="0"/>
    <n v="9.52"/>
    <s v="1st Year"/>
    <s v="Passed"/>
    <s v="No"/>
    <s v="No"/>
  </r>
  <r>
    <s v="21781A3381"/>
    <s v="Divya"/>
    <x v="3"/>
    <n v="64.37"/>
    <x v="0"/>
    <n v="8.0299999999999994"/>
    <s v="3rd Year"/>
    <s v="Passed"/>
    <s v="No"/>
    <s v="Yes"/>
  </r>
  <r>
    <s v="22781A3368"/>
    <s v="Raghava"/>
    <x v="3"/>
    <n v="84.75"/>
    <x v="0"/>
    <n v="8.1300000000000008"/>
    <s v="2nd Year"/>
    <s v="Passed"/>
    <s v="No"/>
    <s v="No"/>
  </r>
  <r>
    <s v="23781A3352"/>
    <s v="Saneeth"/>
    <x v="3"/>
    <n v="85.19"/>
    <x v="0"/>
    <n v="6.92"/>
    <s v="1st Year"/>
    <s v="Passed"/>
    <s v="No"/>
    <s v="No"/>
  </r>
  <r>
    <s v="23781A3353"/>
    <s v="Suresh"/>
    <x v="0"/>
    <n v="76.900000000000006"/>
    <x v="0"/>
    <n v="9.6199999999999992"/>
    <s v="1st Year"/>
    <s v="Passed"/>
    <s v="No"/>
    <s v="No"/>
  </r>
  <r>
    <s v="22781A3369"/>
    <s v="Swathi"/>
    <x v="3"/>
    <n v="68.099999999999994"/>
    <x v="0"/>
    <n v="5.33"/>
    <s v="2nd Year"/>
    <s v="Passed"/>
    <s v="Yes"/>
    <s v="No"/>
  </r>
  <r>
    <s v="20781A3397"/>
    <s v="Mahesh"/>
    <x v="2"/>
    <n v="85.46"/>
    <x v="0"/>
    <n v="6.5"/>
    <s v="4th Year"/>
    <s v="Passed"/>
    <s v="No"/>
    <s v="No"/>
  </r>
  <r>
    <s v="21781A3382"/>
    <s v="Sumalatha"/>
    <x v="4"/>
    <n v="95.26"/>
    <x v="0"/>
    <n v="6.01"/>
    <s v="3rd Year"/>
    <s v="Passed"/>
    <s v="No"/>
    <s v="No"/>
  </r>
  <r>
    <s v="23781A3354"/>
    <s v="Keerthi"/>
    <x v="5"/>
    <n v="95.09"/>
    <x v="0"/>
    <n v="6.13"/>
    <s v="1st Year"/>
    <s v="Passed"/>
    <s v="No"/>
    <s v="No"/>
  </r>
  <r>
    <s v="23781A3355"/>
    <s v="Chaitanya"/>
    <x v="3"/>
    <n v="64.72"/>
    <x v="0"/>
    <n v="6.07"/>
    <s v="1st Year"/>
    <s v="Passed"/>
    <s v="No"/>
    <s v="Yes"/>
  </r>
  <r>
    <s v="22781A3370"/>
    <s v="Rohit"/>
    <x v="1"/>
    <n v="83.77"/>
    <x v="0"/>
    <n v="7.6"/>
    <s v="2nd Year"/>
    <s v="Passed"/>
    <s v="No"/>
    <s v="No"/>
  </r>
  <r>
    <s v="20781A3398"/>
    <s v="Divya"/>
    <x v="3"/>
    <n v="65.42"/>
    <x v="1"/>
    <n v="6.19"/>
    <s v="4th Year"/>
    <s v="Deep Learning"/>
    <s v="Yes"/>
    <s v="No"/>
  </r>
  <r>
    <s v="21781A3383"/>
    <s v="Naveen"/>
    <x v="2"/>
    <n v="62.1"/>
    <x v="0"/>
    <n v="7.37"/>
    <s v="3rd Year"/>
    <s v="Passed"/>
    <s v="No"/>
    <s v="Yes"/>
  </r>
  <r>
    <s v="21781A3384"/>
    <s v="Bhavya"/>
    <x v="1"/>
    <n v="85.15"/>
    <x v="0"/>
    <n v="9.4700000000000006"/>
    <s v="3rd Year"/>
    <s v="Passed"/>
    <s v="No"/>
    <s v="No"/>
  </r>
  <r>
    <s v="21781A3385"/>
    <s v="Rahul"/>
    <x v="4"/>
    <n v="77.180000000000007"/>
    <x v="0"/>
    <n v="7.72"/>
    <s v="3rd Year"/>
    <s v="Passed"/>
    <s v="No"/>
    <s v="No"/>
  </r>
  <r>
    <s v="20781A3399"/>
    <s v="Keerthi"/>
    <x v="2"/>
    <n v="73.260000000000005"/>
    <x v="0"/>
    <n v="5.3"/>
    <s v="4th Year"/>
    <s v="Passed"/>
    <s v="Yes"/>
    <s v="No"/>
  </r>
  <r>
    <s v="23781A3356"/>
    <s v="Deepika"/>
    <x v="3"/>
    <n v="86.31"/>
    <x v="0"/>
    <n v="8.11"/>
    <s v="1st Year"/>
    <s v="Passed"/>
    <s v="No"/>
    <s v="No"/>
  </r>
  <r>
    <s v="20781A3400"/>
    <s v="Sindhu"/>
    <x v="1"/>
    <n v="93.91"/>
    <x v="0"/>
    <n v="6.37"/>
    <s v="4th Year"/>
    <s v="Passed"/>
    <s v="No"/>
    <s v="No"/>
  </r>
  <r>
    <s v="21781A3386"/>
    <s v="Vamsi"/>
    <x v="1"/>
    <n v="66.11"/>
    <x v="0"/>
    <n v="7.09"/>
    <s v="3rd Year"/>
    <s v="Passed"/>
    <s v="Yes"/>
    <s v="No"/>
  </r>
  <r>
    <s v="20781A3401"/>
    <s v="Bhavya"/>
    <x v="4"/>
    <n v="78.25"/>
    <x v="0"/>
    <n v="8.42"/>
    <s v="4th Year"/>
    <s v="Passed"/>
    <s v="No"/>
    <s v="No"/>
  </r>
  <r>
    <s v="21781A3387"/>
    <s v="Srinivas"/>
    <x v="3"/>
    <n v="92.03"/>
    <x v="0"/>
    <n v="9.2899999999999991"/>
    <s v="3rd Year"/>
    <s v="Passed"/>
    <s v="No"/>
    <s v="No"/>
  </r>
  <r>
    <s v="21781A3388"/>
    <s v="Kiran"/>
    <x v="1"/>
    <n v="96"/>
    <x v="0"/>
    <n v="9.56"/>
    <s v="3rd Year"/>
    <s v="Passed"/>
    <s v="No"/>
    <s v="No"/>
  </r>
  <r>
    <s v="21781A3389"/>
    <s v="Tejaswini"/>
    <x v="4"/>
    <n v="88.98"/>
    <x v="0"/>
    <n v="9.26"/>
    <s v="3rd Year"/>
    <s v="Passed"/>
    <s v="No"/>
    <s v="No"/>
  </r>
  <r>
    <s v="22781A3371"/>
    <s v="Harini"/>
    <x v="0"/>
    <n v="63.95"/>
    <x v="0"/>
    <n v="5.94"/>
    <s v="2nd Year"/>
    <s v="Passed"/>
    <s v="No"/>
    <s v="Yes"/>
  </r>
  <r>
    <s v="23781A3357"/>
    <s v="Akhila"/>
    <x v="5"/>
    <n v="97.78"/>
    <x v="0"/>
    <n v="9.3699999999999992"/>
    <s v="1st Year"/>
    <s v="Passed"/>
    <s v="No"/>
    <s v="No"/>
  </r>
  <r>
    <s v="23781A3358"/>
    <s v="Harini"/>
    <x v="1"/>
    <n v="93.1"/>
    <x v="0"/>
    <n v="8.2200000000000006"/>
    <s v="1st Year"/>
    <s v="Passed"/>
    <s v="No"/>
    <s v="No"/>
  </r>
  <r>
    <s v="22781A3372"/>
    <s v="Rohit"/>
    <x v="4"/>
    <n v="98.48"/>
    <x v="0"/>
    <n v="7.01"/>
    <s v="2nd Year"/>
    <s v="Passed"/>
    <s v="No"/>
    <s v="No"/>
  </r>
  <r>
    <s v="22781A3373"/>
    <s v="Chaitanya"/>
    <x v="2"/>
    <n v="86.32"/>
    <x v="0"/>
    <n v="8.94"/>
    <s v="2nd Year"/>
    <s v="Passed"/>
    <s v="No"/>
    <s v="No"/>
  </r>
  <r>
    <s v="23781A3359"/>
    <s v="Sumalatha"/>
    <x v="3"/>
    <n v="98.14"/>
    <x v="0"/>
    <n v="7.36"/>
    <s v="1st Year"/>
    <s v="Passed"/>
    <s v="No"/>
    <s v="No"/>
  </r>
  <r>
    <s v="22781A3374"/>
    <s v="Lakshmi"/>
    <x v="1"/>
    <n v="74.66"/>
    <x v="0"/>
    <n v="7.26"/>
    <s v="2nd Year"/>
    <s v="Passed"/>
    <s v="Yes"/>
    <s v="No"/>
  </r>
  <r>
    <s v="21781A3390"/>
    <s v="Saneeth"/>
    <x v="2"/>
    <n v="70.8"/>
    <x v="0"/>
    <n v="6.13"/>
    <s v="3rd Year"/>
    <s v="Passed"/>
    <s v="Yes"/>
    <s v="No"/>
  </r>
  <r>
    <s v="22781A3375"/>
    <s v="Deepika"/>
    <x v="1"/>
    <n v="97.28"/>
    <x v="0"/>
    <n v="7.46"/>
    <s v="2nd Year"/>
    <s v="Passed"/>
    <s v="No"/>
    <s v="No"/>
  </r>
  <r>
    <s v="21781A3391"/>
    <s v="Anjali"/>
    <x v="1"/>
    <n v="63.98"/>
    <x v="0"/>
    <n v="5.15"/>
    <s v="3rd Year"/>
    <s v="Passed"/>
    <s v="No"/>
    <s v="Yes"/>
  </r>
  <r>
    <s v="23781A3360"/>
    <s v="Sumalatha"/>
    <x v="0"/>
    <n v="98.65"/>
    <x v="0"/>
    <n v="7.77"/>
    <s v="1st Year"/>
    <s v="Passed"/>
    <s v="No"/>
    <s v="No"/>
  </r>
  <r>
    <s v="21781A3392"/>
    <s v="Lakshmi"/>
    <x v="1"/>
    <n v="60.37"/>
    <x v="0"/>
    <n v="5.48"/>
    <s v="3rd Year"/>
    <s v="Passed"/>
    <s v="No"/>
    <s v="Yes"/>
  </r>
  <r>
    <s v="22781A3376"/>
    <s v="Divya"/>
    <x v="0"/>
    <n v="88.78"/>
    <x v="0"/>
    <n v="6.47"/>
    <s v="2nd Year"/>
    <s v="Passed"/>
    <s v="No"/>
    <s v="No"/>
  </r>
  <r>
    <s v="20781A3402"/>
    <s v="Rohit"/>
    <x v="3"/>
    <n v="86.03"/>
    <x v="0"/>
    <n v="7.14"/>
    <s v="4th Year"/>
    <s v="Passed"/>
    <s v="No"/>
    <s v="No"/>
  </r>
  <r>
    <s v="22781A3377"/>
    <s v="Raghava"/>
    <x v="4"/>
    <n v="86.19"/>
    <x v="0"/>
    <n v="7.02"/>
    <s v="2nd Year"/>
    <s v="Passed"/>
    <s v="No"/>
    <s v="No"/>
  </r>
  <r>
    <s v="20781A3403"/>
    <s v="Nikhil"/>
    <x v="1"/>
    <n v="67.67"/>
    <x v="0"/>
    <n v="6.84"/>
    <s v="4th Year"/>
    <s v="Passed"/>
    <s v="Yes"/>
    <s v="No"/>
  </r>
  <r>
    <s v="23781A3361"/>
    <s v="Manoj"/>
    <x v="4"/>
    <n v="60.14"/>
    <x v="0"/>
    <n v="5.18"/>
    <s v="1st Year"/>
    <s v="Passed"/>
    <s v="No"/>
    <s v="Yes"/>
  </r>
  <r>
    <s v="22781A3378"/>
    <s v="Nikhil"/>
    <x v="2"/>
    <n v="78.53"/>
    <x v="0"/>
    <n v="6.95"/>
    <s v="2nd Year"/>
    <s v="Passed"/>
    <s v="No"/>
    <s v="No"/>
  </r>
  <r>
    <s v="23781A3362"/>
    <s v="Lokesh"/>
    <x v="5"/>
    <n v="63.32"/>
    <x v="0"/>
    <n v="8.1300000000000008"/>
    <s v="1st Year"/>
    <s v="Passed"/>
    <s v="No"/>
    <s v="Yes"/>
  </r>
  <r>
    <s v="23781A3363"/>
    <s v="Raghava"/>
    <x v="3"/>
    <n v="99.82"/>
    <x v="0"/>
    <n v="6.35"/>
    <s v="1st Year"/>
    <s v="Passed"/>
    <s v="No"/>
    <s v="No"/>
  </r>
  <r>
    <s v="20781A3404"/>
    <s v="Rohit"/>
    <x v="4"/>
    <n v="98.96"/>
    <x v="1"/>
    <n v="5.31"/>
    <s v="4th Year"/>
    <s v="Deep Learning"/>
    <s v="No"/>
    <s v="No"/>
  </r>
  <r>
    <s v="20781A3405"/>
    <s v="Manoj"/>
    <x v="3"/>
    <n v="68.319999999999993"/>
    <x v="0"/>
    <n v="7.31"/>
    <s v="4th Year"/>
    <s v="Passed"/>
    <s v="Yes"/>
    <s v="No"/>
  </r>
  <r>
    <s v="21781A3393"/>
    <s v="Lakshmi"/>
    <x v="1"/>
    <n v="75.52"/>
    <x v="0"/>
    <n v="7.27"/>
    <s v="3rd Year"/>
    <s v="Passed"/>
    <s v="No"/>
    <s v="No"/>
  </r>
  <r>
    <s v="23781A3364"/>
    <s v="Nikhil"/>
    <x v="0"/>
    <n v="87.61"/>
    <x v="1"/>
    <n v="5.21"/>
    <s v="1st Year"/>
    <s v="M1"/>
    <s v="No"/>
    <s v="No"/>
  </r>
  <r>
    <s v="20781A3406"/>
    <s v="Nikhil"/>
    <x v="0"/>
    <n v="81.05"/>
    <x v="0"/>
    <n v="8.36"/>
    <s v="4th Year"/>
    <s v="Passed"/>
    <s v="No"/>
    <s v="No"/>
  </r>
  <r>
    <s v="23781A3365"/>
    <s v="Harini"/>
    <x v="1"/>
    <n v="95.34"/>
    <x v="0"/>
    <n v="6.98"/>
    <s v="1st Year"/>
    <s v="Passed"/>
    <s v="No"/>
    <s v="No"/>
  </r>
  <r>
    <s v="20781A3407"/>
    <s v="Swathi"/>
    <x v="0"/>
    <n v="90.26"/>
    <x v="1"/>
    <n v="9.06"/>
    <s v="4th Year"/>
    <s v="Deep Learning"/>
    <s v="No"/>
    <s v="No"/>
  </r>
  <r>
    <s v="21781A3394"/>
    <s v="Harini"/>
    <x v="2"/>
    <n v="76.84"/>
    <x v="0"/>
    <n v="5.47"/>
    <s v="3rd Year"/>
    <s v="Passed"/>
    <s v="No"/>
    <s v="No"/>
  </r>
  <r>
    <s v="21781A3395"/>
    <s v="Harini"/>
    <x v="3"/>
    <n v="97.14"/>
    <x v="0"/>
    <n v="6.23"/>
    <s v="3rd Year"/>
    <s v="Passed"/>
    <s v="No"/>
    <s v="No"/>
  </r>
  <r>
    <s v="22781A3379"/>
    <s v="Naveen"/>
    <x v="0"/>
    <n v="89.6"/>
    <x v="0"/>
    <n v="9.14"/>
    <s v="2nd Year"/>
    <s v="Passed"/>
    <s v="No"/>
    <s v="No"/>
  </r>
  <r>
    <s v="21781A3396"/>
    <s v="Sumalatha"/>
    <x v="1"/>
    <n v="67.400000000000006"/>
    <x v="0"/>
    <n v="9.5500000000000007"/>
    <s v="3rd Year"/>
    <s v="Passed"/>
    <s v="Yes"/>
    <s v="No"/>
  </r>
  <r>
    <s v="21781A3397"/>
    <s v="Pavan"/>
    <x v="3"/>
    <n v="64.59"/>
    <x v="0"/>
    <n v="5.82"/>
    <s v="3rd Year"/>
    <s v="Passed"/>
    <s v="No"/>
    <s v="Yes"/>
  </r>
  <r>
    <s v="23781A3366"/>
    <s v="Kiran"/>
    <x v="5"/>
    <n v="74.22"/>
    <x v="0"/>
    <n v="6.92"/>
    <s v="1st Year"/>
    <s v="Passed"/>
    <s v="Yes"/>
    <s v="No"/>
  </r>
  <r>
    <s v="20781A3408"/>
    <s v="Anjali"/>
    <x v="5"/>
    <n v="98.24"/>
    <x v="0"/>
    <n v="6.51"/>
    <s v="4th Year"/>
    <s v="Passed"/>
    <s v="No"/>
    <s v="No"/>
  </r>
  <r>
    <s v="20781A3409"/>
    <s v="Harini"/>
    <x v="4"/>
    <n v="85.53"/>
    <x v="0"/>
    <n v="8.2100000000000009"/>
    <s v="4th Year"/>
    <s v="Passed"/>
    <s v="No"/>
    <s v="No"/>
  </r>
  <r>
    <s v="22781A3380"/>
    <s v="Rohit"/>
    <x v="0"/>
    <n v="96.85"/>
    <x v="0"/>
    <n v="6.52"/>
    <s v="2nd Year"/>
    <s v="Passed"/>
    <s v="No"/>
    <s v="No"/>
  </r>
  <r>
    <s v="20781A3410"/>
    <s v="Suresh"/>
    <x v="3"/>
    <n v="64.42"/>
    <x v="1"/>
    <n v="7.56"/>
    <s v="4th Year"/>
    <s v="Deep Learning"/>
    <s v="No"/>
    <s v="Yes"/>
  </r>
  <r>
    <s v="22781A3381"/>
    <s v="Anjali"/>
    <x v="0"/>
    <n v="91.68"/>
    <x v="0"/>
    <n v="7.06"/>
    <s v="2nd Year"/>
    <s v="Passed"/>
    <s v="No"/>
    <s v="No"/>
  </r>
  <r>
    <s v="23781A3367"/>
    <s v="Srinivas"/>
    <x v="0"/>
    <n v="95.31"/>
    <x v="0"/>
    <n v="9.25"/>
    <s v="1st Year"/>
    <s v="Passed"/>
    <s v="No"/>
    <s v="No"/>
  </r>
  <r>
    <s v="21781A3398"/>
    <s v="Mahesh"/>
    <x v="1"/>
    <n v="63.97"/>
    <x v="1"/>
    <n v="5.52"/>
    <s v="3rd Year"/>
    <s v="Machine Learning"/>
    <s v="No"/>
    <s v="Yes"/>
  </r>
  <r>
    <s v="23781A3368"/>
    <s v="Bhavya"/>
    <x v="2"/>
    <n v="77.48"/>
    <x v="0"/>
    <n v="7.39"/>
    <s v="1st Year"/>
    <s v="Passed"/>
    <s v="No"/>
    <s v="No"/>
  </r>
  <r>
    <s v="23781A3369"/>
    <s v="Praveen"/>
    <x v="1"/>
    <n v="78.41"/>
    <x v="0"/>
    <n v="9.01"/>
    <s v="1st Year"/>
    <s v="Passed"/>
    <s v="No"/>
    <s v="No"/>
  </r>
  <r>
    <s v="20781A3411"/>
    <s v="Vamsi"/>
    <x v="1"/>
    <n v="83.18"/>
    <x v="0"/>
    <n v="5.09"/>
    <s v="4th Year"/>
    <s v="Passed"/>
    <s v="No"/>
    <s v="No"/>
  </r>
  <r>
    <s v="20781A3412"/>
    <s v="Tejaswini"/>
    <x v="4"/>
    <n v="68.09"/>
    <x v="1"/>
    <n v="6.65"/>
    <s v="4th Year"/>
    <s v="Deep Learning"/>
    <s v="Yes"/>
    <s v="No"/>
  </r>
  <r>
    <s v="22781A3382"/>
    <s v="Suresh"/>
    <x v="1"/>
    <n v="79.02"/>
    <x v="1"/>
    <n v="9.4600000000000009"/>
    <s v="2nd Year"/>
    <s v="DBMS"/>
    <s v="No"/>
    <s v="No"/>
  </r>
  <r>
    <s v="21781A3399"/>
    <s v="Chaitanya"/>
    <x v="5"/>
    <n v="95.78"/>
    <x v="0"/>
    <n v="7.58"/>
    <s v="3rd Year"/>
    <s v="Passed"/>
    <s v="No"/>
    <s v="No"/>
  </r>
  <r>
    <s v="20781A3413"/>
    <s v="Kiran"/>
    <x v="2"/>
    <n v="79.45"/>
    <x v="0"/>
    <n v="5.65"/>
    <s v="4th Year"/>
    <s v="Passed"/>
    <s v="No"/>
    <s v="No"/>
  </r>
  <r>
    <s v="22781A3383"/>
    <s v="Harini"/>
    <x v="4"/>
    <n v="65.23"/>
    <x v="0"/>
    <n v="5.6"/>
    <s v="2nd Year"/>
    <s v="Passed"/>
    <s v="Yes"/>
    <s v="No"/>
  </r>
  <r>
    <s v="21781A3400"/>
    <s v="Mahesh"/>
    <x v="1"/>
    <n v="62.91"/>
    <x v="0"/>
    <n v="8.8699999999999992"/>
    <s v="3rd Year"/>
    <s v="Passed"/>
    <s v="No"/>
    <s v="Yes"/>
  </r>
  <r>
    <s v="21781A3401"/>
    <s v="Naveen"/>
    <x v="1"/>
    <n v="62.1"/>
    <x v="0"/>
    <n v="7.84"/>
    <s v="3rd Year"/>
    <s v="Passed"/>
    <s v="No"/>
    <s v="Yes"/>
  </r>
  <r>
    <s v="23781A3370"/>
    <s v="Srinivas"/>
    <x v="4"/>
    <n v="67.55"/>
    <x v="0"/>
    <n v="6.27"/>
    <s v="1st Year"/>
    <s v="Passed"/>
    <s v="Yes"/>
    <s v="No"/>
  </r>
  <r>
    <s v="21781A3402"/>
    <s v="Keerthi"/>
    <x v="4"/>
    <n v="78.150000000000006"/>
    <x v="0"/>
    <n v="5.74"/>
    <s v="3rd Year"/>
    <s v="Passed"/>
    <s v="No"/>
    <s v="No"/>
  </r>
  <r>
    <s v="22781A3384"/>
    <s v="Srinivas"/>
    <x v="0"/>
    <n v="98.74"/>
    <x v="0"/>
    <n v="5.0999999999999996"/>
    <s v="2nd Year"/>
    <s v="Passed"/>
    <s v="No"/>
    <s v="No"/>
  </r>
  <r>
    <s v="22781A3385"/>
    <s v="Srinivas"/>
    <x v="1"/>
    <n v="78.22"/>
    <x v="0"/>
    <n v="9.2100000000000009"/>
    <s v="2nd Year"/>
    <s v="Passed"/>
    <s v="No"/>
    <s v="No"/>
  </r>
  <r>
    <s v="20781A3414"/>
    <s v="Anjali"/>
    <x v="2"/>
    <n v="80.959999999999994"/>
    <x v="0"/>
    <n v="8.6300000000000008"/>
    <s v="4th Year"/>
    <s v="Passed"/>
    <s v="No"/>
    <s v="No"/>
  </r>
  <r>
    <s v="20781A3415"/>
    <s v="Akhila"/>
    <x v="3"/>
    <n v="88.54"/>
    <x v="0"/>
    <n v="8.52"/>
    <s v="4th Year"/>
    <s v="Passed"/>
    <s v="No"/>
    <s v="No"/>
  </r>
  <r>
    <s v="22781A3386"/>
    <s v="Deepika"/>
    <x v="1"/>
    <n v="64.430000000000007"/>
    <x v="0"/>
    <n v="5.49"/>
    <s v="2nd Year"/>
    <s v="Passed"/>
    <s v="No"/>
    <s v="Yes"/>
  </r>
  <r>
    <s v="23781A3371"/>
    <s v="Akhila"/>
    <x v="1"/>
    <n v="97.07"/>
    <x v="1"/>
    <n v="8.24"/>
    <s v="1st Year"/>
    <s v="M1"/>
    <s v="No"/>
    <s v="No"/>
  </r>
  <r>
    <s v="23781A3372"/>
    <s v="Sumalatha"/>
    <x v="5"/>
    <n v="77.44"/>
    <x v="0"/>
    <n v="7.4"/>
    <s v="1st Year"/>
    <s v="Passed"/>
    <s v="No"/>
    <s v="No"/>
  </r>
  <r>
    <s v="22781A3387"/>
    <s v="Deepika"/>
    <x v="2"/>
    <n v="67.47"/>
    <x v="0"/>
    <n v="8.89"/>
    <s v="2nd Year"/>
    <s v="Passed"/>
    <s v="Yes"/>
    <s v="No"/>
  </r>
  <r>
    <s v="21781A3403"/>
    <s v="Harini"/>
    <x v="5"/>
    <n v="63.69"/>
    <x v="0"/>
    <n v="9.25"/>
    <s v="3rd Year"/>
    <s v="Passed"/>
    <s v="No"/>
    <s v="Yes"/>
  </r>
  <r>
    <s v="22781A3388"/>
    <s v="Sumalatha"/>
    <x v="0"/>
    <n v="90.06"/>
    <x v="0"/>
    <n v="6.45"/>
    <s v="2nd Year"/>
    <s v="Passed"/>
    <s v="No"/>
    <s v="No"/>
  </r>
  <r>
    <s v="22781A3389"/>
    <s v="Rahul"/>
    <x v="4"/>
    <n v="67.03"/>
    <x v="0"/>
    <n v="5.35"/>
    <s v="2nd Year"/>
    <s v="Passed"/>
    <s v="Yes"/>
    <s v="No"/>
  </r>
  <r>
    <s v="22781A3390"/>
    <s v="Anjali"/>
    <x v="3"/>
    <n v="99.74"/>
    <x v="0"/>
    <n v="7.64"/>
    <s v="2nd Year"/>
    <s v="Passed"/>
    <s v="No"/>
    <s v="No"/>
  </r>
  <r>
    <s v="22781A3391"/>
    <s v="Naveen"/>
    <x v="3"/>
    <n v="60.69"/>
    <x v="0"/>
    <n v="8.5500000000000007"/>
    <s v="2nd Year"/>
    <s v="Passed"/>
    <s v="No"/>
    <s v="Yes"/>
  </r>
  <r>
    <s v="22781A3392"/>
    <s v="Swathi"/>
    <x v="1"/>
    <n v="98.13"/>
    <x v="0"/>
    <n v="6.71"/>
    <s v="2nd Year"/>
    <s v="Passed"/>
    <s v="No"/>
    <s v="No"/>
  </r>
  <r>
    <s v="23781A3373"/>
    <s v="Suresh"/>
    <x v="4"/>
    <n v="86.99"/>
    <x v="0"/>
    <n v="7.81"/>
    <s v="1st Year"/>
    <s v="Passed"/>
    <s v="No"/>
    <s v="No"/>
  </r>
  <r>
    <s v="20781A3416"/>
    <s v="Pavan"/>
    <x v="2"/>
    <n v="94.17"/>
    <x v="0"/>
    <n v="6.87"/>
    <s v="4th Year"/>
    <s v="Passed"/>
    <s v="No"/>
    <s v="No"/>
  </r>
  <r>
    <s v="20781A3417"/>
    <s v="Pavan"/>
    <x v="4"/>
    <n v="74.98"/>
    <x v="0"/>
    <n v="8.76"/>
    <s v="4th Year"/>
    <s v="Passed"/>
    <s v="Yes"/>
    <s v="No"/>
  </r>
  <r>
    <s v="22781A3393"/>
    <s v="Lakshmi"/>
    <x v="3"/>
    <n v="76.63"/>
    <x v="0"/>
    <n v="7.83"/>
    <s v="2nd Year"/>
    <s v="Passed"/>
    <s v="No"/>
    <s v="No"/>
  </r>
  <r>
    <s v="22781A3394"/>
    <s v="Naveen"/>
    <x v="3"/>
    <n v="93.53"/>
    <x v="0"/>
    <n v="5.43"/>
    <s v="2nd Year"/>
    <s v="Passed"/>
    <s v="No"/>
    <s v="No"/>
  </r>
  <r>
    <s v="21781A3404"/>
    <s v="Srinivas"/>
    <x v="2"/>
    <n v="82.39"/>
    <x v="0"/>
    <n v="5.48"/>
    <s v="3rd Year"/>
    <s v="Passed"/>
    <s v="No"/>
    <s v="No"/>
  </r>
  <r>
    <s v="20781A3418"/>
    <s v="Divya"/>
    <x v="4"/>
    <n v="84.22"/>
    <x v="0"/>
    <n v="8.49"/>
    <s v="4th Year"/>
    <s v="Passed"/>
    <s v="No"/>
    <s v="No"/>
  </r>
  <r>
    <s v="21781A3405"/>
    <s v="Bhavya"/>
    <x v="0"/>
    <n v="66.39"/>
    <x v="0"/>
    <n v="7.8"/>
    <s v="3rd Year"/>
    <s v="Passed"/>
    <s v="Yes"/>
    <s v="No"/>
  </r>
  <r>
    <s v="22781A3395"/>
    <s v="Sindhu"/>
    <x v="5"/>
    <n v="85.83"/>
    <x v="0"/>
    <n v="7.91"/>
    <s v="2nd Year"/>
    <s v="Passed"/>
    <s v="No"/>
    <s v="No"/>
  </r>
  <r>
    <s v="20781A3419"/>
    <s v="Harini"/>
    <x v="0"/>
    <n v="67.010000000000005"/>
    <x v="0"/>
    <n v="8.6"/>
    <s v="4th Year"/>
    <s v="Passed"/>
    <s v="Yes"/>
    <s v="No"/>
  </r>
  <r>
    <s v="21781A3406"/>
    <s v="Kiran"/>
    <x v="4"/>
    <n v="61.64"/>
    <x v="0"/>
    <n v="5.23"/>
    <s v="3rd Year"/>
    <s v="Passed"/>
    <s v="No"/>
    <s v="Yes"/>
  </r>
  <r>
    <s v="20781A3420"/>
    <s v="Deepika"/>
    <x v="1"/>
    <n v="72.91"/>
    <x v="0"/>
    <n v="9.31"/>
    <s v="4th Year"/>
    <s v="Passed"/>
    <s v="Yes"/>
    <s v="No"/>
  </r>
  <r>
    <s v="23781A3374"/>
    <s v="Suresh"/>
    <x v="5"/>
    <n v="62.19"/>
    <x v="0"/>
    <n v="6.4"/>
    <s v="1st Year"/>
    <s v="Passed"/>
    <s v="No"/>
    <s v="Yes"/>
  </r>
  <r>
    <s v="20781A3421"/>
    <s v="Praveen"/>
    <x v="4"/>
    <n v="77.83"/>
    <x v="0"/>
    <n v="6.38"/>
    <s v="4th Year"/>
    <s v="Passed"/>
    <s v="No"/>
    <s v="No"/>
  </r>
  <r>
    <s v="22781A3396"/>
    <s v="Pavan"/>
    <x v="5"/>
    <n v="73.319999999999993"/>
    <x v="1"/>
    <n v="6.41"/>
    <s v="2nd Year"/>
    <s v="DBMS"/>
    <s v="Yes"/>
    <s v="No"/>
  </r>
  <r>
    <s v="22781A3397"/>
    <s v="Divya"/>
    <x v="2"/>
    <n v="78.09"/>
    <x v="1"/>
    <n v="5.81"/>
    <s v="2nd Year"/>
    <s v="DBMS"/>
    <s v="No"/>
    <s v="No"/>
  </r>
  <r>
    <s v="21781A3407"/>
    <s v="Lokesh"/>
    <x v="3"/>
    <n v="95.82"/>
    <x v="0"/>
    <n v="5.22"/>
    <s v="3rd Year"/>
    <s v="Passed"/>
    <s v="No"/>
    <s v="No"/>
  </r>
  <r>
    <s v="23781A3375"/>
    <s v="Swathi"/>
    <x v="0"/>
    <n v="75.069999999999993"/>
    <x v="0"/>
    <n v="7.95"/>
    <s v="1st Year"/>
    <s v="Passed"/>
    <s v="No"/>
    <s v="No"/>
  </r>
  <r>
    <s v="22781A3398"/>
    <s v="Swathi"/>
    <x v="5"/>
    <n v="62.16"/>
    <x v="0"/>
    <n v="6.52"/>
    <s v="2nd Year"/>
    <s v="Passed"/>
    <s v="No"/>
    <s v="Yes"/>
  </r>
  <r>
    <s v="22781A3399"/>
    <s v="Sindhu"/>
    <x v="3"/>
    <n v="90.64"/>
    <x v="0"/>
    <n v="5.54"/>
    <s v="2nd Year"/>
    <s v="Passed"/>
    <s v="No"/>
    <s v="No"/>
  </r>
  <r>
    <s v="22781A3400"/>
    <s v="Srinivas"/>
    <x v="5"/>
    <n v="88.86"/>
    <x v="0"/>
    <n v="9.14"/>
    <s v="2nd Year"/>
    <s v="Passed"/>
    <s v="No"/>
    <s v="No"/>
  </r>
  <r>
    <s v="20781A3422"/>
    <s v="Chaitanya"/>
    <x v="0"/>
    <n v="64.67"/>
    <x v="0"/>
    <n v="8.98"/>
    <s v="4th Year"/>
    <s v="Passed"/>
    <s v="No"/>
    <s v="Yes"/>
  </r>
  <r>
    <s v="21781A3408"/>
    <s v="Mahesh"/>
    <x v="4"/>
    <n v="72.540000000000006"/>
    <x v="1"/>
    <n v="9.25"/>
    <s v="3rd Year"/>
    <s v="Machine Learning"/>
    <s v="Yes"/>
    <s v="No"/>
  </r>
  <r>
    <s v="20781A3423"/>
    <s v="Raghava"/>
    <x v="1"/>
    <n v="82.2"/>
    <x v="0"/>
    <n v="9.1199999999999992"/>
    <s v="4th Year"/>
    <s v="Passed"/>
    <s v="No"/>
    <s v="No"/>
  </r>
  <r>
    <s v="21781A3409"/>
    <s v="Pavan"/>
    <x v="3"/>
    <n v="61.36"/>
    <x v="0"/>
    <n v="8.91"/>
    <s v="3rd Year"/>
    <s v="Passed"/>
    <s v="No"/>
    <s v="Yes"/>
  </r>
  <r>
    <s v="22781A3401"/>
    <s v="Rohit"/>
    <x v="2"/>
    <n v="94.11"/>
    <x v="0"/>
    <n v="9.01"/>
    <s v="2nd Year"/>
    <s v="Passed"/>
    <s v="No"/>
    <s v="No"/>
  </r>
  <r>
    <s v="21781A3410"/>
    <s v="Rahul"/>
    <x v="5"/>
    <n v="73.510000000000005"/>
    <x v="0"/>
    <n v="5.21"/>
    <s v="3rd Year"/>
    <s v="Passed"/>
    <s v="Yes"/>
    <s v="No"/>
  </r>
  <r>
    <s v="20781A3424"/>
    <s v="Rahul"/>
    <x v="2"/>
    <n v="92.23"/>
    <x v="0"/>
    <n v="9.61"/>
    <s v="4th Year"/>
    <s v="Passed"/>
    <s v="No"/>
    <s v="No"/>
  </r>
  <r>
    <s v="23781A3376"/>
    <s v="Bhavya"/>
    <x v="4"/>
    <n v="92.28"/>
    <x v="0"/>
    <n v="9.6199999999999992"/>
    <s v="1st Year"/>
    <s v="Passed"/>
    <s v="No"/>
    <s v="No"/>
  </r>
  <r>
    <s v="20781A3425"/>
    <s v="Rohit"/>
    <x v="0"/>
    <n v="90.36"/>
    <x v="0"/>
    <n v="9.06"/>
    <s v="4th Year"/>
    <s v="Passed"/>
    <s v="No"/>
    <s v="No"/>
  </r>
  <r>
    <s v="22781A3402"/>
    <s v="Mahesh"/>
    <x v="1"/>
    <n v="66.260000000000005"/>
    <x v="0"/>
    <n v="8.1199999999999992"/>
    <s v="2nd Year"/>
    <s v="Passed"/>
    <s v="Yes"/>
    <s v="No"/>
  </r>
  <r>
    <s v="23781A3377"/>
    <s v="Naveen"/>
    <x v="2"/>
    <n v="85.85"/>
    <x v="0"/>
    <n v="8.3800000000000008"/>
    <s v="1st Year"/>
    <s v="Passed"/>
    <s v="No"/>
    <s v="No"/>
  </r>
  <r>
    <s v="21781A3411"/>
    <s v="Keerthi"/>
    <x v="0"/>
    <n v="98.19"/>
    <x v="0"/>
    <n v="5.82"/>
    <s v="3rd Year"/>
    <s v="Passed"/>
    <s v="No"/>
    <s v="No"/>
  </r>
  <r>
    <s v="23781A3378"/>
    <s v="Harini"/>
    <x v="0"/>
    <n v="93.7"/>
    <x v="0"/>
    <n v="8.16"/>
    <s v="1st Year"/>
    <s v="Passed"/>
    <s v="No"/>
    <s v="No"/>
  </r>
  <r>
    <s v="23781A3379"/>
    <s v="Priya"/>
    <x v="5"/>
    <n v="73.14"/>
    <x v="0"/>
    <n v="7.18"/>
    <s v="1st Year"/>
    <s v="Passed"/>
    <s v="Yes"/>
    <s v="No"/>
  </r>
  <r>
    <s v="22781A3403"/>
    <s v="Kiran"/>
    <x v="0"/>
    <n v="87.61"/>
    <x v="0"/>
    <n v="7.76"/>
    <s v="2nd Year"/>
    <s v="Passed"/>
    <s v="No"/>
    <s v="No"/>
  </r>
  <r>
    <s v="23781A3380"/>
    <s v="Lakshmi"/>
    <x v="2"/>
    <n v="61.06"/>
    <x v="0"/>
    <n v="6.04"/>
    <s v="1st Year"/>
    <s v="Passed"/>
    <s v="No"/>
    <s v="Yes"/>
  </r>
  <r>
    <s v="20781A3426"/>
    <s v="Rohit"/>
    <x v="1"/>
    <n v="67.150000000000006"/>
    <x v="0"/>
    <n v="5.29"/>
    <s v="4th Year"/>
    <s v="Passed"/>
    <s v="Yes"/>
    <s v="No"/>
  </r>
  <r>
    <s v="21781A3412"/>
    <s v="Sumalatha"/>
    <x v="0"/>
    <n v="82.29"/>
    <x v="0"/>
    <n v="6.16"/>
    <s v="3rd Year"/>
    <s v="Passed"/>
    <s v="No"/>
    <s v="No"/>
  </r>
  <r>
    <s v="23781A3381"/>
    <s v="Saneeth"/>
    <x v="1"/>
    <n v="75.14"/>
    <x v="0"/>
    <n v="7.72"/>
    <s v="1st Year"/>
    <s v="Passed"/>
    <s v="No"/>
    <s v="No"/>
  </r>
  <r>
    <s v="21781A3413"/>
    <s v="Tejaswini"/>
    <x v="5"/>
    <n v="61.69"/>
    <x v="0"/>
    <n v="6.29"/>
    <s v="3rd Year"/>
    <s v="Passed"/>
    <s v="No"/>
    <s v="Yes"/>
  </r>
  <r>
    <s v="21781A3414"/>
    <s v="Anjali"/>
    <x v="2"/>
    <n v="64.78"/>
    <x v="0"/>
    <n v="7.08"/>
    <s v="3rd Year"/>
    <s v="Passed"/>
    <s v="No"/>
    <s v="Yes"/>
  </r>
  <r>
    <s v="22781A3404"/>
    <s v="Vamsi"/>
    <x v="2"/>
    <n v="68.13"/>
    <x v="0"/>
    <n v="8.31"/>
    <s v="2nd Year"/>
    <s v="Passed"/>
    <s v="Yes"/>
    <s v="No"/>
  </r>
  <r>
    <s v="22781A3405"/>
    <s v="Rahul"/>
    <x v="5"/>
    <n v="99.85"/>
    <x v="1"/>
    <n v="8.82"/>
    <s v="2nd Year"/>
    <s v="DBMS"/>
    <s v="No"/>
    <s v="No"/>
  </r>
  <r>
    <s v="20781A3427"/>
    <s v="Suresh"/>
    <x v="5"/>
    <n v="81.680000000000007"/>
    <x v="0"/>
    <n v="9.4"/>
    <s v="4th Year"/>
    <s v="Passed"/>
    <s v="No"/>
    <s v="No"/>
  </r>
  <r>
    <s v="21781A3415"/>
    <s v="Pavan"/>
    <x v="4"/>
    <n v="83.01"/>
    <x v="0"/>
    <n v="5.14"/>
    <s v="3rd Year"/>
    <s v="Passed"/>
    <s v="No"/>
    <s v="No"/>
  </r>
  <r>
    <s v="22781A3406"/>
    <s v="Praveen"/>
    <x v="1"/>
    <n v="95.4"/>
    <x v="0"/>
    <n v="5.98"/>
    <s v="2nd Year"/>
    <s v="Passed"/>
    <s v="No"/>
    <s v="No"/>
  </r>
  <r>
    <s v="22781A3407"/>
    <s v="Akhila"/>
    <x v="0"/>
    <n v="76.209999999999994"/>
    <x v="0"/>
    <n v="9.31"/>
    <s v="2nd Year"/>
    <s v="Passed"/>
    <s v="No"/>
    <s v="No"/>
  </r>
  <r>
    <s v="21781A3416"/>
    <s v="Vamsi"/>
    <x v="0"/>
    <n v="76.64"/>
    <x v="0"/>
    <n v="7.28"/>
    <s v="3rd Year"/>
    <s v="Passed"/>
    <s v="No"/>
    <s v="No"/>
  </r>
  <r>
    <s v="20781A3428"/>
    <s v="Kiran"/>
    <x v="5"/>
    <n v="80.58"/>
    <x v="0"/>
    <n v="9.58"/>
    <s v="4th Year"/>
    <s v="Passed"/>
    <s v="No"/>
    <s v="No"/>
  </r>
  <r>
    <s v="20781A3429"/>
    <s v="Saneeth"/>
    <x v="1"/>
    <n v="70.48"/>
    <x v="0"/>
    <n v="9.52"/>
    <s v="4th Year"/>
    <s v="Passed"/>
    <s v="Yes"/>
    <s v="No"/>
  </r>
  <r>
    <s v="20781A3430"/>
    <s v="Harini"/>
    <x v="3"/>
    <n v="65.95"/>
    <x v="1"/>
    <n v="7.93"/>
    <s v="4th Year"/>
    <s v="Deep Learning"/>
    <s v="Yes"/>
    <s v="No"/>
  </r>
  <r>
    <s v="22781A3408"/>
    <s v="Manoj"/>
    <x v="2"/>
    <n v="96.12"/>
    <x v="0"/>
    <n v="7.86"/>
    <s v="2nd Year"/>
    <s v="Passed"/>
    <s v="No"/>
    <s v="No"/>
  </r>
  <r>
    <s v="22781A3409"/>
    <s v="Akhila"/>
    <x v="5"/>
    <n v="96.58"/>
    <x v="0"/>
    <n v="7.36"/>
    <s v="2nd Year"/>
    <s v="Passed"/>
    <s v="No"/>
    <s v="No"/>
  </r>
  <r>
    <s v="21781A3417"/>
    <s v="Rahul"/>
    <x v="0"/>
    <n v="71.67"/>
    <x v="0"/>
    <n v="5.56"/>
    <s v="3rd Year"/>
    <s v="Passed"/>
    <s v="Yes"/>
    <s v="No"/>
  </r>
  <r>
    <s v="23781A3382"/>
    <s v="Raghava"/>
    <x v="4"/>
    <n v="71.290000000000006"/>
    <x v="0"/>
    <n v="5.47"/>
    <s v="1st Year"/>
    <s v="Passed"/>
    <s v="Yes"/>
    <s v="No"/>
  </r>
  <r>
    <s v="21781A3418"/>
    <s v="Lokesh"/>
    <x v="0"/>
    <n v="86.29"/>
    <x v="0"/>
    <n v="6.33"/>
    <s v="3rd Year"/>
    <s v="Passed"/>
    <s v="No"/>
    <s v="No"/>
  </r>
  <r>
    <s v="22781A3410"/>
    <s v="Nikhil"/>
    <x v="4"/>
    <n v="71.39"/>
    <x v="0"/>
    <n v="8.17"/>
    <s v="2nd Year"/>
    <s v="Passed"/>
    <s v="Yes"/>
    <s v="No"/>
  </r>
  <r>
    <s v="20781A3431"/>
    <s v="Rohit"/>
    <x v="0"/>
    <n v="68.31"/>
    <x v="0"/>
    <n v="9.25"/>
    <s v="4th Year"/>
    <s v="Passed"/>
    <s v="Yes"/>
    <s v="No"/>
  </r>
  <r>
    <s v="22781A3411"/>
    <s v="Sumalatha"/>
    <x v="4"/>
    <n v="90.86"/>
    <x v="0"/>
    <n v="8.36"/>
    <s v="2nd Year"/>
    <s v="Passed"/>
    <s v="No"/>
    <s v="No"/>
  </r>
  <r>
    <s v="23781A3383"/>
    <s v="Nikhil"/>
    <x v="3"/>
    <n v="61.22"/>
    <x v="0"/>
    <n v="8.1999999999999993"/>
    <s v="1st Year"/>
    <s v="Passed"/>
    <s v="No"/>
    <s v="Yes"/>
  </r>
  <r>
    <s v="20781A3432"/>
    <s v="Rohit"/>
    <x v="0"/>
    <n v="71.53"/>
    <x v="0"/>
    <n v="8.92"/>
    <s v="4th Year"/>
    <s v="Passed"/>
    <s v="Yes"/>
    <s v="No"/>
  </r>
  <r>
    <s v="20781A3433"/>
    <s v="Kavya"/>
    <x v="2"/>
    <n v="60.23"/>
    <x v="0"/>
    <n v="5.76"/>
    <s v="4th Year"/>
    <s v="Passed"/>
    <s v="No"/>
    <s v="Yes"/>
  </r>
  <r>
    <s v="22781A3412"/>
    <s v="Akhila"/>
    <x v="5"/>
    <n v="66.790000000000006"/>
    <x v="0"/>
    <n v="8.15"/>
    <s v="2nd Year"/>
    <s v="Passed"/>
    <s v="Yes"/>
    <s v="No"/>
  </r>
  <r>
    <s v="22781A3413"/>
    <s v="Pavan"/>
    <x v="3"/>
    <n v="83.22"/>
    <x v="0"/>
    <n v="5.57"/>
    <s v="2nd Year"/>
    <s v="Passed"/>
    <s v="No"/>
    <s v="No"/>
  </r>
  <r>
    <s v="20781A3434"/>
    <s v="Nikhil"/>
    <x v="0"/>
    <n v="96.29"/>
    <x v="0"/>
    <n v="5.66"/>
    <s v="4th Year"/>
    <s v="Passed"/>
    <s v="No"/>
    <s v="No"/>
  </r>
  <r>
    <s v="22781A3414"/>
    <s v="Raghava"/>
    <x v="3"/>
    <n v="73.83"/>
    <x v="1"/>
    <n v="8.0299999999999994"/>
    <s v="2nd Year"/>
    <s v="DBMS"/>
    <s v="Yes"/>
    <s v="No"/>
  </r>
  <r>
    <s v="21781A3419"/>
    <s v="Lakshmi"/>
    <x v="1"/>
    <n v="64.12"/>
    <x v="0"/>
    <n v="5.97"/>
    <s v="3rd Year"/>
    <s v="Passed"/>
    <s v="No"/>
    <s v="Yes"/>
  </r>
  <r>
    <s v="20781A3435"/>
    <s v="Kiran"/>
    <x v="4"/>
    <n v="97.7"/>
    <x v="0"/>
    <n v="9.65"/>
    <s v="4th Year"/>
    <s v="Passed"/>
    <s v="No"/>
    <s v="No"/>
  </r>
  <r>
    <s v="23781A3384"/>
    <s v="Tejaswini"/>
    <x v="0"/>
    <n v="60.81"/>
    <x v="0"/>
    <n v="5.87"/>
    <s v="1st Year"/>
    <s v="Passed"/>
    <s v="No"/>
    <s v="Yes"/>
  </r>
  <r>
    <s v="22781A3415"/>
    <s v="Rahul"/>
    <x v="2"/>
    <n v="72.56"/>
    <x v="1"/>
    <n v="8.6"/>
    <s v="2nd Year"/>
    <s v="DBMS"/>
    <s v="Yes"/>
    <s v="No"/>
  </r>
  <r>
    <s v="20781A3436"/>
    <s v="Kiran"/>
    <x v="1"/>
    <n v="71.55"/>
    <x v="0"/>
    <n v="9.01"/>
    <s v="4th Year"/>
    <s v="Passed"/>
    <s v="Yes"/>
    <s v="No"/>
  </r>
  <r>
    <s v="23781A3385"/>
    <s v="Kiran"/>
    <x v="2"/>
    <n v="74.099999999999994"/>
    <x v="0"/>
    <n v="9.18"/>
    <s v="1st Year"/>
    <s v="Passed"/>
    <s v="Yes"/>
    <s v="No"/>
  </r>
  <r>
    <s v="22781A3416"/>
    <s v="Harini"/>
    <x v="3"/>
    <n v="73.03"/>
    <x v="0"/>
    <n v="7.11"/>
    <s v="2nd Year"/>
    <s v="Passed"/>
    <s v="Yes"/>
    <s v="No"/>
  </r>
  <r>
    <s v="20781A3437"/>
    <s v="Anjali"/>
    <x v="4"/>
    <n v="88.12"/>
    <x v="1"/>
    <n v="5.36"/>
    <s v="4th Year"/>
    <s v="Deep Learning"/>
    <s v="No"/>
    <s v="No"/>
  </r>
  <r>
    <s v="21781A3420"/>
    <s v="Sindhu"/>
    <x v="4"/>
    <n v="90.62"/>
    <x v="0"/>
    <n v="8.1199999999999992"/>
    <s v="3rd Year"/>
    <s v="Passed"/>
    <s v="No"/>
    <s v="No"/>
  </r>
  <r>
    <s v="21781A3421"/>
    <s v="Sindhu"/>
    <x v="3"/>
    <n v="83.4"/>
    <x v="0"/>
    <n v="9.43"/>
    <s v="3rd Year"/>
    <s v="Passed"/>
    <s v="No"/>
    <s v="No"/>
  </r>
  <r>
    <s v="20781A3438"/>
    <s v="Sumalatha"/>
    <x v="2"/>
    <n v="65.739999999999995"/>
    <x v="0"/>
    <n v="6.2"/>
    <s v="4th Year"/>
    <s v="Passed"/>
    <s v="Yes"/>
    <s v="No"/>
  </r>
  <r>
    <s v="23781A3386"/>
    <s v="Praveen"/>
    <x v="3"/>
    <n v="77.12"/>
    <x v="0"/>
    <n v="9.7899999999999991"/>
    <s v="1st Year"/>
    <s v="Passed"/>
    <s v="No"/>
    <s v="No"/>
  </r>
  <r>
    <s v="22781A3417"/>
    <s v="Tejaswini"/>
    <x v="5"/>
    <n v="98.9"/>
    <x v="1"/>
    <n v="7.94"/>
    <s v="2nd Year"/>
    <s v="DBMS"/>
    <s v="No"/>
    <s v="No"/>
  </r>
  <r>
    <s v="20781A3439"/>
    <s v="Vamsi"/>
    <x v="4"/>
    <n v="60.7"/>
    <x v="0"/>
    <n v="7.41"/>
    <s v="4th Year"/>
    <s v="Passed"/>
    <s v="No"/>
    <s v="Yes"/>
  </r>
  <r>
    <s v="23781A3387"/>
    <s v="Manoj"/>
    <x v="4"/>
    <n v="73.739999999999995"/>
    <x v="0"/>
    <n v="5.9"/>
    <s v="1st Year"/>
    <s v="Passed"/>
    <s v="Yes"/>
    <s v="No"/>
  </r>
  <r>
    <s v="23781A3388"/>
    <s v="Rohit"/>
    <x v="1"/>
    <n v="60.33"/>
    <x v="0"/>
    <n v="6.22"/>
    <s v="1st Year"/>
    <s v="Passed"/>
    <s v="No"/>
    <s v="Yes"/>
  </r>
  <r>
    <s v="21781A3422"/>
    <s v="Nikhil"/>
    <x v="3"/>
    <n v="99.02"/>
    <x v="0"/>
    <n v="5"/>
    <s v="3rd Year"/>
    <s v="Passed"/>
    <s v="No"/>
    <s v="No"/>
  </r>
  <r>
    <s v="23781A3389"/>
    <s v="Priya"/>
    <x v="0"/>
    <n v="98.29"/>
    <x v="0"/>
    <n v="5.75"/>
    <s v="1st Year"/>
    <s v="Passed"/>
    <s v="No"/>
    <s v="No"/>
  </r>
  <r>
    <s v="21781A3423"/>
    <s v="Raghava"/>
    <x v="4"/>
    <n v="63.01"/>
    <x v="1"/>
    <n v="8.01"/>
    <s v="3rd Year"/>
    <s v="Machine Learning"/>
    <s v="No"/>
    <s v="Yes"/>
  </r>
  <r>
    <s v="20781A3440"/>
    <s v="Suresh"/>
    <x v="2"/>
    <n v="94.14"/>
    <x v="1"/>
    <n v="8.23"/>
    <s v="4th Year"/>
    <s v="Deep Learning"/>
    <s v="No"/>
    <s v="No"/>
  </r>
  <r>
    <s v="22781A3418"/>
    <s v="Saneeth"/>
    <x v="5"/>
    <n v="85.02"/>
    <x v="0"/>
    <n v="8.6"/>
    <s v="2nd Year"/>
    <s v="Passed"/>
    <s v="No"/>
    <s v="No"/>
  </r>
  <r>
    <s v="23781A3390"/>
    <s v="Lakshmi"/>
    <x v="5"/>
    <n v="62.45"/>
    <x v="0"/>
    <n v="6.69"/>
    <s v="1st Year"/>
    <s v="Passed"/>
    <s v="No"/>
    <s v="Yes"/>
  </r>
  <r>
    <s v="22781A3419"/>
    <s v="Chaitanya"/>
    <x v="5"/>
    <n v="66.38"/>
    <x v="1"/>
    <n v="6.78"/>
    <s v="2nd Year"/>
    <s v="DBMS"/>
    <s v="Yes"/>
    <s v="No"/>
  </r>
  <r>
    <s v="20781A3441"/>
    <s v="Praveen"/>
    <x v="4"/>
    <n v="78.569999999999993"/>
    <x v="0"/>
    <n v="6.07"/>
    <s v="4th Year"/>
    <s v="Passed"/>
    <s v="No"/>
    <s v="No"/>
  </r>
  <r>
    <s v="22781A3420"/>
    <s v="Praveen"/>
    <x v="1"/>
    <n v="73.66"/>
    <x v="1"/>
    <n v="5.28"/>
    <s v="2nd Year"/>
    <s v="DBMS"/>
    <s v="Yes"/>
    <s v="No"/>
  </r>
  <r>
    <s v="21781A3424"/>
    <s v="Rohit"/>
    <x v="2"/>
    <n v="99.61"/>
    <x v="0"/>
    <n v="9.24"/>
    <s v="3rd Year"/>
    <s v="Passed"/>
    <s v="No"/>
    <s v="No"/>
  </r>
  <r>
    <s v="23781A3391"/>
    <s v="Suresh"/>
    <x v="0"/>
    <n v="91.54"/>
    <x v="0"/>
    <n v="7.36"/>
    <s v="1st Year"/>
    <s v="Passed"/>
    <s v="No"/>
    <s v="No"/>
  </r>
  <r>
    <s v="20781A3442"/>
    <s v="Mahesh"/>
    <x v="3"/>
    <n v="79.930000000000007"/>
    <x v="0"/>
    <n v="8.92"/>
    <s v="4th Year"/>
    <s v="Passed"/>
    <s v="No"/>
    <s v="No"/>
  </r>
  <r>
    <s v="21781A3425"/>
    <s v="Kavya"/>
    <x v="4"/>
    <n v="68.930000000000007"/>
    <x v="0"/>
    <n v="5.17"/>
    <s v="3rd Year"/>
    <s v="Passed"/>
    <s v="Yes"/>
    <s v="No"/>
  </r>
  <r>
    <s v="22781A3421"/>
    <s v="Sumalatha"/>
    <x v="0"/>
    <n v="83.93"/>
    <x v="0"/>
    <n v="8.8699999999999992"/>
    <s v="2nd Year"/>
    <s v="Passed"/>
    <s v="No"/>
    <s v="No"/>
  </r>
  <r>
    <s v="23781A3392"/>
    <s v="Mahesh"/>
    <x v="0"/>
    <n v="85.67"/>
    <x v="0"/>
    <n v="8.58"/>
    <s v="1st Year"/>
    <s v="Passed"/>
    <s v="No"/>
    <s v="No"/>
  </r>
  <r>
    <s v="21781A3426"/>
    <s v="Praveen"/>
    <x v="1"/>
    <n v="84.85"/>
    <x v="0"/>
    <n v="5.99"/>
    <s v="3rd Year"/>
    <s v="Passed"/>
    <s v="No"/>
    <s v="No"/>
  </r>
  <r>
    <s v="20781A3443"/>
    <s v="Manoj"/>
    <x v="5"/>
    <n v="95"/>
    <x v="0"/>
    <n v="6.78"/>
    <s v="4th Year"/>
    <s v="Passed"/>
    <s v="No"/>
    <s v="No"/>
  </r>
  <r>
    <s v="20781A3444"/>
    <s v="Priya"/>
    <x v="2"/>
    <n v="88.31"/>
    <x v="0"/>
    <n v="8.6999999999999993"/>
    <s v="4th Year"/>
    <s v="Passed"/>
    <s v="No"/>
    <s v="No"/>
  </r>
  <r>
    <s v="21781A3427"/>
    <s v="Deepika"/>
    <x v="0"/>
    <n v="84.37"/>
    <x v="0"/>
    <n v="8.5299999999999994"/>
    <s v="3rd Year"/>
    <s v="Passed"/>
    <s v="No"/>
    <s v="No"/>
  </r>
  <r>
    <s v="21781A3428"/>
    <s v="Saneeth"/>
    <x v="4"/>
    <n v="95.44"/>
    <x v="0"/>
    <n v="5.72"/>
    <s v="3rd Year"/>
    <s v="Passed"/>
    <s v="No"/>
    <s v="No"/>
  </r>
  <r>
    <s v="23781A3393"/>
    <s v="Rohit"/>
    <x v="3"/>
    <n v="68.23"/>
    <x v="1"/>
    <n v="5.98"/>
    <s v="1st Year"/>
    <s v="M1"/>
    <s v="Yes"/>
    <s v="No"/>
  </r>
  <r>
    <s v="21781A3429"/>
    <s v="Swathi"/>
    <x v="1"/>
    <n v="73.239999999999995"/>
    <x v="0"/>
    <n v="8.77"/>
    <s v="3rd Year"/>
    <s v="Passed"/>
    <s v="Yes"/>
    <s v="No"/>
  </r>
  <r>
    <s v="20781A3445"/>
    <s v="Lakshmi"/>
    <x v="5"/>
    <n v="72.040000000000006"/>
    <x v="0"/>
    <n v="6.29"/>
    <s v="4th Year"/>
    <s v="Passed"/>
    <s v="Yes"/>
    <s v="No"/>
  </r>
  <r>
    <s v="22781A3422"/>
    <s v="Manoj"/>
    <x v="2"/>
    <n v="61.57"/>
    <x v="0"/>
    <n v="5.82"/>
    <s v="2nd Year"/>
    <s v="Passed"/>
    <s v="No"/>
    <s v="Yes"/>
  </r>
  <r>
    <s v="20781A3446"/>
    <s v="Anjali"/>
    <x v="2"/>
    <n v="95.76"/>
    <x v="0"/>
    <n v="8.64"/>
    <s v="4th Year"/>
    <s v="Passed"/>
    <s v="No"/>
    <s v="No"/>
  </r>
  <r>
    <s v="23781A3394"/>
    <s v="Keerthi"/>
    <x v="4"/>
    <n v="90.49"/>
    <x v="0"/>
    <n v="9.18"/>
    <s v="1st Year"/>
    <s v="Passed"/>
    <s v="No"/>
    <s v="No"/>
  </r>
  <r>
    <s v="22781A3423"/>
    <s v="Divya"/>
    <x v="5"/>
    <n v="99.53"/>
    <x v="0"/>
    <n v="8.3699999999999992"/>
    <s v="2nd Year"/>
    <s v="Passed"/>
    <s v="No"/>
    <s v="No"/>
  </r>
  <r>
    <s v="21781A3430"/>
    <s v="Swathi"/>
    <x v="2"/>
    <n v="62.66"/>
    <x v="0"/>
    <n v="6.81"/>
    <s v="3rd Year"/>
    <s v="Passed"/>
    <s v="No"/>
    <s v="Yes"/>
  </r>
  <r>
    <s v="21781A3431"/>
    <s v="Priya"/>
    <x v="0"/>
    <n v="99.72"/>
    <x v="0"/>
    <n v="7.36"/>
    <s v="3rd Year"/>
    <s v="Passed"/>
    <s v="No"/>
    <s v="No"/>
  </r>
  <r>
    <s v="23781A3395"/>
    <s v="Saneeth"/>
    <x v="0"/>
    <n v="89.01"/>
    <x v="0"/>
    <n v="5.37"/>
    <s v="1st Year"/>
    <s v="Passed"/>
    <s v="No"/>
    <s v="No"/>
  </r>
  <r>
    <s v="21781A3432"/>
    <s v="Sindhu"/>
    <x v="0"/>
    <n v="88.93"/>
    <x v="0"/>
    <n v="7.36"/>
    <s v="3rd Year"/>
    <s v="Passed"/>
    <s v="No"/>
    <s v="No"/>
  </r>
  <r>
    <s v="22781A3424"/>
    <s v="Suresh"/>
    <x v="1"/>
    <n v="78.62"/>
    <x v="0"/>
    <n v="8.4499999999999993"/>
    <s v="2nd Year"/>
    <s v="Passed"/>
    <s v="No"/>
    <s v="No"/>
  </r>
  <r>
    <s v="23781A3396"/>
    <s v="Manoj"/>
    <x v="4"/>
    <n v="77.91"/>
    <x v="0"/>
    <n v="8.32"/>
    <s v="1st Year"/>
    <s v="Passed"/>
    <s v="No"/>
    <s v="No"/>
  </r>
  <r>
    <s v="23781A3397"/>
    <s v="Suresh"/>
    <x v="1"/>
    <n v="62.23"/>
    <x v="0"/>
    <n v="5.32"/>
    <s v="1st Year"/>
    <s v="Passed"/>
    <s v="No"/>
    <s v="Yes"/>
  </r>
  <r>
    <s v="22781A3425"/>
    <s v="Lakshmi"/>
    <x v="1"/>
    <n v="78.13"/>
    <x v="1"/>
    <n v="7.51"/>
    <s v="2nd Year"/>
    <s v="DBMS"/>
    <s v="No"/>
    <s v="No"/>
  </r>
  <r>
    <s v="23781A3398"/>
    <s v="Kiran"/>
    <x v="2"/>
    <n v="75.17"/>
    <x v="0"/>
    <n v="8.3000000000000007"/>
    <s v="1st Year"/>
    <s v="Passed"/>
    <s v="No"/>
    <s v="No"/>
  </r>
  <r>
    <s v="22781A3426"/>
    <s v="Akhila"/>
    <x v="2"/>
    <n v="80.39"/>
    <x v="0"/>
    <n v="5.78"/>
    <s v="2nd Year"/>
    <s v="Passed"/>
    <s v="No"/>
    <s v="No"/>
  </r>
  <r>
    <s v="20781A3447"/>
    <s v="Anjali"/>
    <x v="2"/>
    <n v="99.89"/>
    <x v="0"/>
    <n v="6.64"/>
    <s v="4th Year"/>
    <s v="Passed"/>
    <s v="No"/>
    <s v="No"/>
  </r>
  <r>
    <s v="22781A3427"/>
    <s v="Akhila"/>
    <x v="4"/>
    <n v="73.260000000000005"/>
    <x v="0"/>
    <n v="6.67"/>
    <s v="2nd Year"/>
    <s v="Passed"/>
    <s v="Yes"/>
    <s v="No"/>
  </r>
  <r>
    <s v="20781A3448"/>
    <s v="Swathi"/>
    <x v="2"/>
    <n v="70.92"/>
    <x v="0"/>
    <n v="9.32"/>
    <s v="4th Year"/>
    <s v="Passed"/>
    <s v="Yes"/>
    <s v="No"/>
  </r>
  <r>
    <s v="23781A3399"/>
    <s v="Rohit"/>
    <x v="1"/>
    <n v="73.28"/>
    <x v="0"/>
    <n v="9.49"/>
    <s v="1st Year"/>
    <s v="Passed"/>
    <s v="Yes"/>
    <s v="No"/>
  </r>
  <r>
    <s v="23781A3400"/>
    <s v="Rohit"/>
    <x v="1"/>
    <n v="62.7"/>
    <x v="0"/>
    <n v="9.1300000000000008"/>
    <s v="1st Year"/>
    <s v="Passed"/>
    <s v="No"/>
    <s v="Yes"/>
  </r>
  <r>
    <s v="21781A3433"/>
    <s v="Deepika"/>
    <x v="2"/>
    <n v="96.37"/>
    <x v="0"/>
    <n v="5.17"/>
    <s v="3rd Year"/>
    <s v="Passed"/>
    <s v="No"/>
    <s v="No"/>
  </r>
  <r>
    <s v="21781A3434"/>
    <s v="Keerthi"/>
    <x v="3"/>
    <n v="91.21"/>
    <x v="0"/>
    <n v="7.6"/>
    <s v="3rd Year"/>
    <s v="Passed"/>
    <s v="No"/>
    <s v="No"/>
  </r>
  <r>
    <s v="22781A3428"/>
    <s v="Rahul"/>
    <x v="3"/>
    <n v="85.14"/>
    <x v="1"/>
    <n v="5.5"/>
    <s v="2nd Year"/>
    <s v="DBMS"/>
    <s v="No"/>
    <s v="No"/>
  </r>
  <r>
    <s v="22781A3429"/>
    <s v="Naveen"/>
    <x v="2"/>
    <n v="62.1"/>
    <x v="0"/>
    <n v="5.54"/>
    <s v="2nd Year"/>
    <s v="Passed"/>
    <s v="No"/>
    <s v="Yes"/>
  </r>
  <r>
    <s v="23781A3401"/>
    <s v="Praveen"/>
    <x v="1"/>
    <n v="65.7"/>
    <x v="0"/>
    <n v="7.17"/>
    <s v="1st Year"/>
    <s v="Passed"/>
    <s v="Yes"/>
    <s v="No"/>
  </r>
  <r>
    <s v="23781A3402"/>
    <s v="Raghava"/>
    <x v="2"/>
    <n v="65.290000000000006"/>
    <x v="0"/>
    <n v="9.52"/>
    <s v="1st Year"/>
    <s v="Passed"/>
    <s v="Yes"/>
    <s v="No"/>
  </r>
  <r>
    <s v="20781A3449"/>
    <s v="Lakshmi"/>
    <x v="1"/>
    <n v="63.1"/>
    <x v="0"/>
    <n v="7.3"/>
    <s v="4th Year"/>
    <s v="Passed"/>
    <s v="No"/>
    <s v="Yes"/>
  </r>
  <r>
    <s v="23781A3403"/>
    <s v="Praveen"/>
    <x v="4"/>
    <n v="91.88"/>
    <x v="0"/>
    <n v="9.34"/>
    <s v="1st Year"/>
    <s v="Passed"/>
    <s v="No"/>
    <s v="No"/>
  </r>
  <r>
    <s v="21781A3435"/>
    <s v="Rohit"/>
    <x v="2"/>
    <n v="75.37"/>
    <x v="0"/>
    <n v="6.21"/>
    <s v="3rd Year"/>
    <s v="Passed"/>
    <s v="No"/>
    <s v="No"/>
  </r>
  <r>
    <s v="22781A3430"/>
    <s v="Mahesh"/>
    <x v="2"/>
    <n v="69.48"/>
    <x v="0"/>
    <n v="7.11"/>
    <s v="2nd Year"/>
    <s v="Passed"/>
    <s v="Yes"/>
    <s v="No"/>
  </r>
  <r>
    <s v="22781A3431"/>
    <s v="Kavya"/>
    <x v="3"/>
    <n v="66.73"/>
    <x v="0"/>
    <n v="8.0500000000000007"/>
    <s v="2nd Year"/>
    <s v="Passed"/>
    <s v="Yes"/>
    <s v="No"/>
  </r>
  <r>
    <s v="21781A3436"/>
    <s v="Manoj"/>
    <x v="3"/>
    <n v="69.819999999999993"/>
    <x v="0"/>
    <n v="8.1999999999999993"/>
    <s v="3rd Year"/>
    <s v="Passed"/>
    <s v="Yes"/>
    <s v="No"/>
  </r>
  <r>
    <s v="23781A3404"/>
    <s v="Sumalatha"/>
    <x v="1"/>
    <n v="61.35"/>
    <x v="0"/>
    <n v="8.85"/>
    <s v="1st Year"/>
    <s v="Passed"/>
    <s v="No"/>
    <s v="Yes"/>
  </r>
  <r>
    <s v="23781A3405"/>
    <s v="Mahesh"/>
    <x v="0"/>
    <n v="90.4"/>
    <x v="0"/>
    <n v="6.63"/>
    <s v="1st Year"/>
    <s v="Passed"/>
    <s v="No"/>
    <s v="No"/>
  </r>
  <r>
    <s v="21781A3437"/>
    <s v="Pavan"/>
    <x v="4"/>
    <n v="90.87"/>
    <x v="0"/>
    <n v="6.63"/>
    <s v="3rd Year"/>
    <s v="Passed"/>
    <s v="No"/>
    <s v="No"/>
  </r>
  <r>
    <s v="20781A3450"/>
    <s v="Lokesh"/>
    <x v="5"/>
    <n v="91.73"/>
    <x v="0"/>
    <n v="8.32"/>
    <s v="4th Year"/>
    <s v="Passed"/>
    <s v="No"/>
    <s v="No"/>
  </r>
  <r>
    <s v="23781A3406"/>
    <s v="Raghava"/>
    <x v="2"/>
    <n v="61.35"/>
    <x v="0"/>
    <n v="6.01"/>
    <s v="1st Year"/>
    <s v="Passed"/>
    <s v="No"/>
    <s v="Yes"/>
  </r>
  <r>
    <s v="22781A3432"/>
    <s v="Naveen"/>
    <x v="1"/>
    <n v="91.99"/>
    <x v="0"/>
    <n v="8.91"/>
    <s v="2nd Year"/>
    <s v="Passed"/>
    <s v="No"/>
    <s v="No"/>
  </r>
  <r>
    <s v="20781A3451"/>
    <s v="Saneeth"/>
    <x v="1"/>
    <n v="93.84"/>
    <x v="0"/>
    <n v="8.86"/>
    <s v="4th Year"/>
    <s v="Passed"/>
    <s v="No"/>
    <s v="No"/>
  </r>
  <r>
    <s v="21781A3438"/>
    <s v="Deepika"/>
    <x v="0"/>
    <n v="95.95"/>
    <x v="0"/>
    <n v="5.37"/>
    <s v="3rd Year"/>
    <s v="Passed"/>
    <s v="No"/>
    <s v="No"/>
  </r>
  <r>
    <s v="22781A3433"/>
    <s v="Lakshmi"/>
    <x v="1"/>
    <n v="81.66"/>
    <x v="0"/>
    <n v="8.36"/>
    <s v="2nd Year"/>
    <s v="Passed"/>
    <s v="No"/>
    <s v="No"/>
  </r>
  <r>
    <s v="20781A3452"/>
    <s v="Tejaswini"/>
    <x v="1"/>
    <n v="85.47"/>
    <x v="0"/>
    <n v="5.97"/>
    <s v="4th Year"/>
    <s v="Passed"/>
    <s v="No"/>
    <s v="No"/>
  </r>
  <r>
    <s v="23781A3407"/>
    <s v="Divya"/>
    <x v="5"/>
    <n v="81.16"/>
    <x v="0"/>
    <n v="8.92"/>
    <s v="1st Year"/>
    <s v="Passed"/>
    <s v="No"/>
    <s v="No"/>
  </r>
  <r>
    <s v="21781A3439"/>
    <s v="Akhila"/>
    <x v="2"/>
    <n v="64.33"/>
    <x v="1"/>
    <n v="5.22"/>
    <s v="3rd Year"/>
    <s v="Machine Learning"/>
    <s v="No"/>
    <s v="Yes"/>
  </r>
  <r>
    <s v="22781A3434"/>
    <s v="Rohit"/>
    <x v="1"/>
    <n v="97.76"/>
    <x v="0"/>
    <n v="6.43"/>
    <s v="2nd Year"/>
    <s v="Passed"/>
    <s v="No"/>
    <s v="No"/>
  </r>
  <r>
    <s v="20781A3453"/>
    <s v="Raghava"/>
    <x v="2"/>
    <n v="71.430000000000007"/>
    <x v="0"/>
    <n v="8.98"/>
    <s v="4th Year"/>
    <s v="Passed"/>
    <s v="Yes"/>
    <s v="No"/>
  </r>
  <r>
    <s v="20781A3454"/>
    <s v="Praveen"/>
    <x v="1"/>
    <n v="63.76"/>
    <x v="1"/>
    <n v="6.13"/>
    <s v="4th Year"/>
    <s v="Deep Learning"/>
    <s v="No"/>
    <s v="Yes"/>
  </r>
  <r>
    <s v="23781A3408"/>
    <s v="Naveen"/>
    <x v="5"/>
    <n v="74.67"/>
    <x v="0"/>
    <n v="5.81"/>
    <s v="1st Year"/>
    <s v="Passed"/>
    <s v="Yes"/>
    <s v="No"/>
  </r>
  <r>
    <s v="23781A3409"/>
    <s v="Pavan"/>
    <x v="1"/>
    <n v="96.72"/>
    <x v="0"/>
    <n v="6.72"/>
    <s v="1st Year"/>
    <s v="Passed"/>
    <s v="No"/>
    <s v="No"/>
  </r>
  <r>
    <s v="23781A3410"/>
    <s v="Kiran"/>
    <x v="0"/>
    <n v="97.85"/>
    <x v="1"/>
    <n v="6.59"/>
    <s v="1st Year"/>
    <s v="M1"/>
    <s v="No"/>
    <s v="No"/>
  </r>
  <r>
    <s v="21781A3440"/>
    <s v="Rahul"/>
    <x v="1"/>
    <n v="65.510000000000005"/>
    <x v="0"/>
    <n v="6.7"/>
    <s v="3rd Year"/>
    <s v="Passed"/>
    <s v="Yes"/>
    <s v="No"/>
  </r>
  <r>
    <s v="20781A3455"/>
    <s v="Kiran"/>
    <x v="0"/>
    <n v="87.59"/>
    <x v="1"/>
    <n v="7.19"/>
    <s v="4th Year"/>
    <s v="Deep Learning"/>
    <s v="No"/>
    <s v="No"/>
  </r>
  <r>
    <s v="22781A3435"/>
    <s v="Swathi"/>
    <x v="0"/>
    <n v="97.32"/>
    <x v="0"/>
    <n v="7.96"/>
    <s v="2nd Year"/>
    <s v="Passed"/>
    <s v="No"/>
    <s v="No"/>
  </r>
  <r>
    <s v="21781A3441"/>
    <s v="Divya"/>
    <x v="2"/>
    <n v="91.66"/>
    <x v="0"/>
    <n v="9.14"/>
    <s v="3rd Year"/>
    <s v="Passed"/>
    <s v="No"/>
    <s v="No"/>
  </r>
  <r>
    <s v="22781A3436"/>
    <s v="Sindhu"/>
    <x v="2"/>
    <n v="85.69"/>
    <x v="0"/>
    <n v="6.14"/>
    <s v="2nd Year"/>
    <s v="Passed"/>
    <s v="No"/>
    <s v="No"/>
  </r>
  <r>
    <s v="21781A3442"/>
    <s v="Pavan"/>
    <x v="4"/>
    <n v="65.48"/>
    <x v="1"/>
    <n v="9.5399999999999991"/>
    <s v="3rd Year"/>
    <s v="Machine Learning"/>
    <s v="Yes"/>
    <s v="No"/>
  </r>
  <r>
    <s v="22781A3437"/>
    <s v="Tejaswini"/>
    <x v="3"/>
    <n v="99.81"/>
    <x v="0"/>
    <n v="9.51"/>
    <s v="2nd Year"/>
    <s v="Passed"/>
    <s v="No"/>
    <s v="No"/>
  </r>
  <r>
    <s v="22781A3438"/>
    <s v="Mahesh"/>
    <x v="2"/>
    <n v="66.680000000000007"/>
    <x v="0"/>
    <n v="6.6"/>
    <s v="2nd Year"/>
    <s v="Passed"/>
    <s v="Yes"/>
    <s v="No"/>
  </r>
  <r>
    <s v="22781A3439"/>
    <s v="Akhila"/>
    <x v="1"/>
    <n v="91.29"/>
    <x v="1"/>
    <n v="5.93"/>
    <s v="2nd Year"/>
    <s v="DBMS"/>
    <s v="No"/>
    <s v="No"/>
  </r>
  <r>
    <s v="21781A3443"/>
    <s v="Kiran"/>
    <x v="3"/>
    <n v="84.39"/>
    <x v="0"/>
    <n v="5.21"/>
    <s v="3rd Year"/>
    <s v="Passed"/>
    <s v="No"/>
    <s v="No"/>
  </r>
  <r>
    <s v="20781A3456"/>
    <s v="Anjali"/>
    <x v="1"/>
    <n v="78.209999999999994"/>
    <x v="0"/>
    <n v="5.22"/>
    <s v="4th Year"/>
    <s v="Passed"/>
    <s v="No"/>
    <s v="No"/>
  </r>
  <r>
    <s v="23781A3411"/>
    <s v="Bhavya"/>
    <x v="5"/>
    <n v="78.91"/>
    <x v="0"/>
    <n v="9.31"/>
    <s v="1st Year"/>
    <s v="Passed"/>
    <s v="No"/>
    <s v="No"/>
  </r>
  <r>
    <s v="23781A3412"/>
    <s v="Priya"/>
    <x v="4"/>
    <n v="66.75"/>
    <x v="1"/>
    <n v="8.4499999999999993"/>
    <s v="1st Year"/>
    <s v="M1"/>
    <s v="Yes"/>
    <s v="No"/>
  </r>
  <r>
    <s v="22781A3440"/>
    <s v="Mahesh"/>
    <x v="1"/>
    <n v="65.87"/>
    <x v="0"/>
    <n v="5.97"/>
    <s v="2nd Year"/>
    <s v="Passed"/>
    <s v="Yes"/>
    <s v="No"/>
  </r>
  <r>
    <s v="20781A3457"/>
    <s v="Lakshmi"/>
    <x v="5"/>
    <n v="91.35"/>
    <x v="0"/>
    <n v="9.1"/>
    <s v="4th Year"/>
    <s v="Passed"/>
    <s v="No"/>
    <s v="No"/>
  </r>
  <r>
    <s v="21781A3444"/>
    <s v="Naveen"/>
    <x v="3"/>
    <n v="88.5"/>
    <x v="0"/>
    <n v="5.98"/>
    <s v="3rd Year"/>
    <s v="Passed"/>
    <s v="No"/>
    <s v="No"/>
  </r>
  <r>
    <s v="22781A3441"/>
    <s v="Swathi"/>
    <x v="2"/>
    <n v="97.32"/>
    <x v="0"/>
    <n v="9.8000000000000007"/>
    <s v="2nd Year"/>
    <s v="Passed"/>
    <s v="No"/>
    <s v="No"/>
  </r>
  <r>
    <s v="22781A3442"/>
    <s v="Manoj"/>
    <x v="4"/>
    <n v="93.39"/>
    <x v="0"/>
    <n v="8.5399999999999991"/>
    <s v="2nd Year"/>
    <s v="Passed"/>
    <s v="No"/>
    <s v="No"/>
  </r>
  <r>
    <s v="21781A3445"/>
    <s v="Kiran"/>
    <x v="3"/>
    <n v="80.94"/>
    <x v="0"/>
    <n v="7.44"/>
    <s v="3rd Year"/>
    <s v="Passed"/>
    <s v="No"/>
    <s v="No"/>
  </r>
  <r>
    <s v="22781A3443"/>
    <s v="Mahesh"/>
    <x v="2"/>
    <n v="92.55"/>
    <x v="0"/>
    <n v="6.28"/>
    <s v="2nd Year"/>
    <s v="Passed"/>
    <s v="No"/>
    <s v="No"/>
  </r>
  <r>
    <s v="23781A3413"/>
    <s v="Sumalatha"/>
    <x v="4"/>
    <n v="96.75"/>
    <x v="0"/>
    <n v="5.33"/>
    <s v="1st Year"/>
    <s v="Passed"/>
    <s v="No"/>
    <s v="No"/>
  </r>
  <r>
    <s v="20781A3458"/>
    <s v="Pavan"/>
    <x v="0"/>
    <n v="83.28"/>
    <x v="0"/>
    <n v="8.69"/>
    <s v="4th Year"/>
    <s v="Passed"/>
    <s v="No"/>
    <s v="No"/>
  </r>
  <r>
    <s v="22781A3444"/>
    <s v="Naveen"/>
    <x v="2"/>
    <n v="75.930000000000007"/>
    <x v="1"/>
    <n v="7.85"/>
    <s v="2nd Year"/>
    <s v="DBMS"/>
    <s v="No"/>
    <s v="No"/>
  </r>
  <r>
    <s v="20781A3459"/>
    <s v="Raghava"/>
    <x v="3"/>
    <n v="77.45"/>
    <x v="0"/>
    <n v="8.66"/>
    <s v="4th Year"/>
    <s v="Passed"/>
    <s v="No"/>
    <s v="No"/>
  </r>
  <r>
    <s v="22781A3445"/>
    <s v="Naveen"/>
    <x v="0"/>
    <n v="87.02"/>
    <x v="1"/>
    <n v="6.51"/>
    <s v="2nd Year"/>
    <s v="DBMS"/>
    <s v="No"/>
    <s v="No"/>
  </r>
  <r>
    <s v="20781A3460"/>
    <s v="Divya"/>
    <x v="5"/>
    <n v="66.709999999999994"/>
    <x v="0"/>
    <n v="5.46"/>
    <s v="4th Year"/>
    <s v="Passed"/>
    <s v="Yes"/>
    <s v="No"/>
  </r>
  <r>
    <s v="23781A3414"/>
    <s v="Sumalatha"/>
    <x v="4"/>
    <n v="75.33"/>
    <x v="0"/>
    <n v="6.76"/>
    <s v="1st Year"/>
    <s v="Passed"/>
    <s v="No"/>
    <s v="No"/>
  </r>
  <r>
    <s v="23781A3415"/>
    <s v="Swathi"/>
    <x v="2"/>
    <n v="87.81"/>
    <x v="0"/>
    <n v="6.03"/>
    <s v="1st Year"/>
    <s v="Passed"/>
    <s v="No"/>
    <s v="No"/>
  </r>
  <r>
    <s v="22781A3446"/>
    <s v="Bhavya"/>
    <x v="5"/>
    <n v="65.53"/>
    <x v="0"/>
    <n v="8.0399999999999991"/>
    <s v="2nd Year"/>
    <s v="Passed"/>
    <s v="Yes"/>
    <s v="No"/>
  </r>
  <r>
    <s v="23781A3416"/>
    <s v="Nikhil"/>
    <x v="3"/>
    <n v="98.27"/>
    <x v="0"/>
    <n v="6.41"/>
    <s v="1st Year"/>
    <s v="Passed"/>
    <s v="No"/>
    <s v="No"/>
  </r>
  <r>
    <s v="20781A3461"/>
    <s v="Praveen"/>
    <x v="4"/>
    <n v="87.62"/>
    <x v="0"/>
    <n v="5.28"/>
    <s v="4th Year"/>
    <s v="Passed"/>
    <s v="No"/>
    <s v="No"/>
  </r>
  <r>
    <s v="22781A3447"/>
    <s v="Rahul"/>
    <x v="5"/>
    <n v="78.239999999999995"/>
    <x v="0"/>
    <n v="5.62"/>
    <s v="2nd Year"/>
    <s v="Passed"/>
    <s v="No"/>
    <s v="No"/>
  </r>
  <r>
    <s v="23781A3417"/>
    <s v="Pavan"/>
    <x v="0"/>
    <n v="97.32"/>
    <x v="0"/>
    <n v="8.3699999999999992"/>
    <s v="1st Year"/>
    <s v="Passed"/>
    <s v="No"/>
    <s v="No"/>
  </r>
  <r>
    <s v="23781A3418"/>
    <s v="Kavya"/>
    <x v="3"/>
    <n v="67.7"/>
    <x v="0"/>
    <n v="9.73"/>
    <s v="1st Year"/>
    <s v="Passed"/>
    <s v="Yes"/>
    <s v="No"/>
  </r>
  <r>
    <s v="20781A3462"/>
    <s v="Anjali"/>
    <x v="2"/>
    <n v="87.08"/>
    <x v="0"/>
    <n v="5.23"/>
    <s v="4th Year"/>
    <s v="Passed"/>
    <s v="No"/>
    <s v="No"/>
  </r>
  <r>
    <s v="21781A3446"/>
    <s v="Vamsi"/>
    <x v="3"/>
    <n v="84.56"/>
    <x v="1"/>
    <n v="6.44"/>
    <s v="3rd Year"/>
    <s v="Machine Learning"/>
    <s v="No"/>
    <s v="No"/>
  </r>
  <r>
    <s v="22781A3448"/>
    <s v="Divya"/>
    <x v="3"/>
    <n v="95.11"/>
    <x v="0"/>
    <n v="5.5"/>
    <s v="2nd Year"/>
    <s v="Passed"/>
    <s v="No"/>
    <s v="No"/>
  </r>
  <r>
    <s v="22781A3449"/>
    <s v="Naveen"/>
    <x v="1"/>
    <n v="70.42"/>
    <x v="0"/>
    <n v="8.52"/>
    <s v="2nd Year"/>
    <s v="Passed"/>
    <s v="Yes"/>
    <s v="No"/>
  </r>
  <r>
    <s v="21781A3447"/>
    <s v="Anjali"/>
    <x v="2"/>
    <n v="67.040000000000006"/>
    <x v="0"/>
    <n v="5.26"/>
    <s v="3rd Year"/>
    <s v="Passed"/>
    <s v="Yes"/>
    <s v="No"/>
  </r>
  <r>
    <s v="23781A3419"/>
    <s v="Raghava"/>
    <x v="1"/>
    <n v="73.349999999999994"/>
    <x v="0"/>
    <n v="5.63"/>
    <s v="1st Year"/>
    <s v="Passed"/>
    <s v="Yes"/>
    <s v="No"/>
  </r>
  <r>
    <s v="20781A3463"/>
    <s v="Keerthi"/>
    <x v="2"/>
    <n v="98.25"/>
    <x v="0"/>
    <n v="9.5399999999999991"/>
    <s v="4th Year"/>
    <s v="Passed"/>
    <s v="No"/>
    <s v="No"/>
  </r>
  <r>
    <s v="20781A3464"/>
    <s v="Lakshmi"/>
    <x v="5"/>
    <n v="81.760000000000005"/>
    <x v="0"/>
    <n v="5.47"/>
    <s v="4th Year"/>
    <s v="Passed"/>
    <s v="No"/>
    <s v="No"/>
  </r>
  <r>
    <s v="22781A3450"/>
    <s v="Praveen"/>
    <x v="3"/>
    <n v="97.9"/>
    <x v="0"/>
    <n v="5.69"/>
    <s v="2nd Year"/>
    <s v="Passed"/>
    <s v="No"/>
    <s v="No"/>
  </r>
  <r>
    <s v="21781A3448"/>
    <s v="Pavan"/>
    <x v="1"/>
    <n v="91.48"/>
    <x v="0"/>
    <n v="9.6199999999999992"/>
    <s v="3rd Year"/>
    <s v="Passed"/>
    <s v="No"/>
    <s v="No"/>
  </r>
  <r>
    <s v="20781A3465"/>
    <s v="Rahul"/>
    <x v="2"/>
    <n v="86.33"/>
    <x v="0"/>
    <n v="6.96"/>
    <s v="4th Year"/>
    <s v="Passed"/>
    <s v="No"/>
    <s v="No"/>
  </r>
  <r>
    <s v="22781A3451"/>
    <s v="Naveen"/>
    <x v="5"/>
    <n v="74.44"/>
    <x v="0"/>
    <n v="8.34"/>
    <s v="2nd Year"/>
    <s v="Passed"/>
    <s v="Yes"/>
    <s v="No"/>
  </r>
  <r>
    <s v="20781A3466"/>
    <s v="Keerthi"/>
    <x v="5"/>
    <n v="87.63"/>
    <x v="0"/>
    <n v="7.87"/>
    <s v="4th Year"/>
    <s v="Passed"/>
    <s v="No"/>
    <s v="No"/>
  </r>
  <r>
    <s v="22781A3452"/>
    <s v="Chaitanya"/>
    <x v="2"/>
    <n v="91.39"/>
    <x v="0"/>
    <n v="6.99"/>
    <s v="2nd Year"/>
    <s v="Passed"/>
    <s v="No"/>
    <s v="No"/>
  </r>
  <r>
    <s v="22781A3453"/>
    <s v="Nikhil"/>
    <x v="5"/>
    <n v="71.849999999999994"/>
    <x v="0"/>
    <n v="9.7100000000000009"/>
    <s v="2nd Year"/>
    <s v="Passed"/>
    <s v="Yes"/>
    <s v="No"/>
  </r>
  <r>
    <s v="23781A3420"/>
    <s v="Kavya"/>
    <x v="2"/>
    <n v="73.91"/>
    <x v="0"/>
    <n v="7.75"/>
    <s v="1st Year"/>
    <s v="Passed"/>
    <s v="Yes"/>
    <s v="No"/>
  </r>
  <r>
    <s v="23781A3421"/>
    <s v="Raghava"/>
    <x v="1"/>
    <n v="62.56"/>
    <x v="0"/>
    <n v="7.56"/>
    <s v="1st Year"/>
    <s v="Passed"/>
    <s v="No"/>
    <s v="Yes"/>
  </r>
  <r>
    <s v="22781A3454"/>
    <s v="Nikhil"/>
    <x v="3"/>
    <n v="90.34"/>
    <x v="0"/>
    <n v="6.12"/>
    <s v="2nd Year"/>
    <s v="Passed"/>
    <s v="No"/>
    <s v="No"/>
  </r>
  <r>
    <s v="22781A3455"/>
    <s v="Naveen"/>
    <x v="1"/>
    <n v="84.23"/>
    <x v="0"/>
    <n v="7.65"/>
    <s v="2nd Year"/>
    <s v="Passed"/>
    <s v="No"/>
    <s v="No"/>
  </r>
  <r>
    <s v="20781A3467"/>
    <s v="Deepika"/>
    <x v="1"/>
    <n v="98.8"/>
    <x v="0"/>
    <n v="8.69"/>
    <s v="4th Year"/>
    <s v="Passed"/>
    <s v="No"/>
    <s v="No"/>
  </r>
  <r>
    <s v="20781A3468"/>
    <s v="Vamsi"/>
    <x v="1"/>
    <n v="86.93"/>
    <x v="1"/>
    <n v="7.54"/>
    <s v="4th Year"/>
    <s v="Deep Learning"/>
    <s v="No"/>
    <s v="No"/>
  </r>
  <r>
    <s v="22781A3456"/>
    <s v="Swathi"/>
    <x v="2"/>
    <n v="87.04"/>
    <x v="0"/>
    <n v="7.98"/>
    <s v="2nd Year"/>
    <s v="Passed"/>
    <s v="No"/>
    <s v="No"/>
  </r>
  <r>
    <s v="20781A3469"/>
    <s v="Sumalatha"/>
    <x v="4"/>
    <n v="64.92"/>
    <x v="0"/>
    <n v="8.83"/>
    <s v="4th Year"/>
    <s v="Passed"/>
    <s v="No"/>
    <s v="Yes"/>
  </r>
  <r>
    <s v="23781A3422"/>
    <s v="Deepika"/>
    <x v="1"/>
    <n v="73.86"/>
    <x v="0"/>
    <n v="5.21"/>
    <s v="1st Year"/>
    <s v="Passed"/>
    <s v="Yes"/>
    <s v="No"/>
  </r>
  <r>
    <s v="20781A3470"/>
    <s v="Swathi"/>
    <x v="4"/>
    <n v="65.31"/>
    <x v="1"/>
    <n v="6.12"/>
    <s v="4th Year"/>
    <s v="Deep Learning"/>
    <s v="Yes"/>
    <s v="N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2">
  <r>
    <s v="22781A3200"/>
    <s v="Rahul"/>
    <x v="0"/>
    <n v="90.85"/>
    <x v="0"/>
    <n v="5.72"/>
    <x v="0"/>
    <x v="0"/>
    <x v="0"/>
    <x v="0"/>
    <x v="0"/>
    <m/>
  </r>
  <r>
    <s v="23781A3200"/>
    <s v="Saneeth"/>
    <x v="1"/>
    <n v="88.84"/>
    <x v="1"/>
    <n v="8.67"/>
    <x v="1"/>
    <x v="1"/>
    <x v="0"/>
    <x v="0"/>
    <x v="0"/>
    <m/>
  </r>
  <r>
    <s v="23781A3200"/>
    <s v="Anjali"/>
    <x v="2"/>
    <n v="69.05"/>
    <x v="0"/>
    <n v="6.26"/>
    <x v="0"/>
    <x v="0"/>
    <x v="1"/>
    <x v="0"/>
    <x v="1"/>
    <s v="No"/>
  </r>
  <r>
    <s v="23781A3201"/>
    <s v="Suresh"/>
    <x v="1"/>
    <n v="65.099999999999994"/>
    <x v="0"/>
    <n v="5.18"/>
    <x v="1"/>
    <x v="0"/>
    <x v="1"/>
    <x v="0"/>
    <x v="2"/>
    <s v="No"/>
  </r>
  <r>
    <s v="23781A3202"/>
    <s v="Pavan"/>
    <x v="2"/>
    <n v="77.52"/>
    <x v="0"/>
    <n v="8.27"/>
    <x v="1"/>
    <x v="0"/>
    <x v="0"/>
    <x v="0"/>
    <x v="3"/>
    <m/>
  </r>
  <r>
    <s v="22781A3202"/>
    <s v="Lokesh"/>
    <x v="3"/>
    <n v="73.13"/>
    <x v="1"/>
    <n v="6.56"/>
    <x v="0"/>
    <x v="2"/>
    <x v="1"/>
    <x v="0"/>
    <x v="4"/>
    <s v="No"/>
  </r>
  <r>
    <s v="23781A3203"/>
    <s v="Kavya"/>
    <x v="4"/>
    <n v="82.56"/>
    <x v="0"/>
    <n v="7.15"/>
    <x v="1"/>
    <x v="0"/>
    <x v="0"/>
    <x v="0"/>
    <x v="0"/>
    <m/>
  </r>
  <r>
    <s v="20781A3200"/>
    <s v="Lakshmi"/>
    <x v="3"/>
    <n v="61.53"/>
    <x v="0"/>
    <n v="8.76"/>
    <x v="2"/>
    <x v="0"/>
    <x v="0"/>
    <x v="1"/>
    <x v="0"/>
    <m/>
  </r>
  <r>
    <s v="21781A3200"/>
    <s v="Kavya"/>
    <x v="1"/>
    <n v="74.72"/>
    <x v="0"/>
    <n v="5.97"/>
    <x v="3"/>
    <x v="0"/>
    <x v="1"/>
    <x v="0"/>
    <x v="5"/>
    <s v="No"/>
  </r>
  <r>
    <s v="22781A3203"/>
    <s v="Harini"/>
    <x v="1"/>
    <n v="90.24"/>
    <x v="0"/>
    <n v="8.51"/>
    <x v="0"/>
    <x v="0"/>
    <x v="0"/>
    <x v="0"/>
    <x v="0"/>
    <m/>
  </r>
  <r>
    <s v="22781A3204"/>
    <s v="Manoj"/>
    <x v="1"/>
    <n v="68.02"/>
    <x v="0"/>
    <n v="8.35"/>
    <x v="0"/>
    <x v="0"/>
    <x v="1"/>
    <x v="0"/>
    <x v="1"/>
    <s v="No"/>
  </r>
  <r>
    <s v="21781A3201"/>
    <s v="Swathi"/>
    <x v="5"/>
    <n v="78"/>
    <x v="0"/>
    <n v="9.07"/>
    <x v="3"/>
    <x v="0"/>
    <x v="0"/>
    <x v="0"/>
    <x v="0"/>
    <m/>
  </r>
  <r>
    <s v="20781A3201"/>
    <s v="Deepika"/>
    <x v="2"/>
    <n v="81.760000000000005"/>
    <x v="0"/>
    <n v="6.66"/>
    <x v="2"/>
    <x v="0"/>
    <x v="0"/>
    <x v="0"/>
    <x v="0"/>
    <m/>
  </r>
  <r>
    <s v="22781A3205"/>
    <s v="Rohit"/>
    <x v="3"/>
    <n v="70.3"/>
    <x v="0"/>
    <n v="6.46"/>
    <x v="0"/>
    <x v="0"/>
    <x v="1"/>
    <x v="0"/>
    <x v="4"/>
    <s v="No"/>
  </r>
  <r>
    <s v="21781A3202"/>
    <s v="Suresh"/>
    <x v="0"/>
    <n v="86.68"/>
    <x v="0"/>
    <n v="9.08"/>
    <x v="3"/>
    <x v="0"/>
    <x v="0"/>
    <x v="0"/>
    <x v="0"/>
    <m/>
  </r>
  <r>
    <s v="20781A3202"/>
    <s v="Harini"/>
    <x v="1"/>
    <n v="68.25"/>
    <x v="0"/>
    <n v="8.6"/>
    <x v="2"/>
    <x v="0"/>
    <x v="1"/>
    <x v="0"/>
    <x v="6"/>
    <s v="No"/>
  </r>
  <r>
    <s v="23781A3204"/>
    <s v="Nikhil"/>
    <x v="5"/>
    <n v="62.95"/>
    <x v="1"/>
    <n v="8.69"/>
    <x v="1"/>
    <x v="1"/>
    <x v="0"/>
    <x v="1"/>
    <x v="0"/>
    <m/>
  </r>
  <r>
    <s v="21781A3203"/>
    <s v="Bhavya"/>
    <x v="3"/>
    <n v="78.7"/>
    <x v="0"/>
    <n v="7.04"/>
    <x v="3"/>
    <x v="0"/>
    <x v="0"/>
    <x v="0"/>
    <x v="0"/>
    <m/>
  </r>
  <r>
    <s v="21781A3204"/>
    <s v="Lokesh"/>
    <x v="4"/>
    <n v="89.76"/>
    <x v="0"/>
    <n v="8.0399999999999991"/>
    <x v="3"/>
    <x v="0"/>
    <x v="0"/>
    <x v="0"/>
    <x v="0"/>
    <m/>
  </r>
  <r>
    <s v="20781A3203"/>
    <s v="Bhavya"/>
    <x v="2"/>
    <n v="86.41"/>
    <x v="0"/>
    <n v="5.31"/>
    <x v="2"/>
    <x v="0"/>
    <x v="0"/>
    <x v="0"/>
    <x v="0"/>
    <m/>
  </r>
  <r>
    <s v="20781A3204"/>
    <s v="Rahul"/>
    <x v="2"/>
    <n v="62.78"/>
    <x v="0"/>
    <n v="7.91"/>
    <x v="2"/>
    <x v="0"/>
    <x v="0"/>
    <x v="1"/>
    <x v="0"/>
    <m/>
  </r>
  <r>
    <s v="20781A3205"/>
    <s v="Bhavya"/>
    <x v="3"/>
    <n v="89.95"/>
    <x v="0"/>
    <n v="9.3000000000000007"/>
    <x v="2"/>
    <x v="0"/>
    <x v="0"/>
    <x v="0"/>
    <x v="0"/>
    <m/>
  </r>
  <r>
    <s v="20781A3206"/>
    <s v="Tejaswini"/>
    <x v="4"/>
    <n v="71.47"/>
    <x v="0"/>
    <n v="8.36"/>
    <x v="2"/>
    <x v="0"/>
    <x v="1"/>
    <x v="0"/>
    <x v="7"/>
    <s v="Yes"/>
  </r>
  <r>
    <s v="20781A3207"/>
    <s v="Rohit"/>
    <x v="1"/>
    <n v="60.73"/>
    <x v="0"/>
    <n v="7.2"/>
    <x v="2"/>
    <x v="0"/>
    <x v="0"/>
    <x v="1"/>
    <x v="0"/>
    <m/>
  </r>
  <r>
    <s v="22781A3206"/>
    <s v="Lakshmi"/>
    <x v="1"/>
    <n v="85.33"/>
    <x v="0"/>
    <n v="7.09"/>
    <x v="0"/>
    <x v="0"/>
    <x v="0"/>
    <x v="0"/>
    <x v="0"/>
    <m/>
  </r>
  <r>
    <s v="23781A3205"/>
    <s v="Saneeth"/>
    <x v="5"/>
    <n v="70.16"/>
    <x v="0"/>
    <n v="5.91"/>
    <x v="1"/>
    <x v="0"/>
    <x v="1"/>
    <x v="0"/>
    <x v="8"/>
    <s v="Yes"/>
  </r>
  <r>
    <s v="23781A3206"/>
    <s v="Rahul"/>
    <x v="1"/>
    <n v="77"/>
    <x v="1"/>
    <n v="7.98"/>
    <x v="1"/>
    <x v="1"/>
    <x v="0"/>
    <x v="0"/>
    <x v="0"/>
    <m/>
  </r>
  <r>
    <s v="21781A3205"/>
    <s v="Harini"/>
    <x v="2"/>
    <n v="94.97"/>
    <x v="0"/>
    <n v="7.87"/>
    <x v="3"/>
    <x v="0"/>
    <x v="0"/>
    <x v="0"/>
    <x v="0"/>
    <m/>
  </r>
  <r>
    <s v="23781A3207"/>
    <s v="Sindhu"/>
    <x v="5"/>
    <n v="62.84"/>
    <x v="0"/>
    <n v="5.38"/>
    <x v="1"/>
    <x v="0"/>
    <x v="0"/>
    <x v="1"/>
    <x v="0"/>
    <m/>
  </r>
  <r>
    <s v="20781A3208"/>
    <s v="Tejaswini"/>
    <x v="1"/>
    <n v="62.05"/>
    <x v="1"/>
    <n v="8.2899999999999991"/>
    <x v="2"/>
    <x v="3"/>
    <x v="0"/>
    <x v="1"/>
    <x v="0"/>
    <m/>
  </r>
  <r>
    <s v="22781A3207"/>
    <s v="Srinivas"/>
    <x v="3"/>
    <n v="70.61"/>
    <x v="1"/>
    <n v="9.2899999999999991"/>
    <x v="0"/>
    <x v="2"/>
    <x v="1"/>
    <x v="0"/>
    <x v="7"/>
    <s v="No"/>
  </r>
  <r>
    <s v="23781A3208"/>
    <s v="Mahesh"/>
    <x v="3"/>
    <n v="70.77"/>
    <x v="1"/>
    <n v="5.71"/>
    <x v="1"/>
    <x v="1"/>
    <x v="1"/>
    <x v="0"/>
    <x v="6"/>
    <s v="No"/>
  </r>
  <r>
    <s v="21781A3206"/>
    <s v="Srinivas"/>
    <x v="0"/>
    <n v="77.81"/>
    <x v="0"/>
    <n v="8.64"/>
    <x v="3"/>
    <x v="0"/>
    <x v="0"/>
    <x v="0"/>
    <x v="0"/>
    <m/>
  </r>
  <r>
    <s v="20781A3209"/>
    <s v="Sindhu"/>
    <x v="2"/>
    <n v="63.53"/>
    <x v="0"/>
    <n v="5.26"/>
    <x v="2"/>
    <x v="0"/>
    <x v="0"/>
    <x v="1"/>
    <x v="0"/>
    <m/>
  </r>
  <r>
    <s v="22781A3208"/>
    <s v="Pavan"/>
    <x v="4"/>
    <n v="70.430000000000007"/>
    <x v="0"/>
    <n v="6.44"/>
    <x v="0"/>
    <x v="0"/>
    <x v="1"/>
    <x v="0"/>
    <x v="1"/>
    <s v="No"/>
  </r>
  <r>
    <s v="23781A3209"/>
    <s v="Tejaswini"/>
    <x v="4"/>
    <n v="79.12"/>
    <x v="0"/>
    <n v="7.25"/>
    <x v="1"/>
    <x v="0"/>
    <x v="0"/>
    <x v="0"/>
    <x v="0"/>
    <m/>
  </r>
  <r>
    <s v="21781A3207"/>
    <s v="Bhavya"/>
    <x v="0"/>
    <n v="68.400000000000006"/>
    <x v="0"/>
    <n v="6.93"/>
    <x v="3"/>
    <x v="0"/>
    <x v="1"/>
    <x v="0"/>
    <x v="9"/>
    <s v="No"/>
  </r>
  <r>
    <s v="22781A3209"/>
    <s v="Priya"/>
    <x v="1"/>
    <n v="79.98"/>
    <x v="0"/>
    <n v="7.59"/>
    <x v="0"/>
    <x v="0"/>
    <x v="0"/>
    <x v="0"/>
    <x v="0"/>
    <m/>
  </r>
  <r>
    <s v="20781A3210"/>
    <s v="Chaitanya"/>
    <x v="5"/>
    <n v="73.739999999999995"/>
    <x v="1"/>
    <n v="7.42"/>
    <x v="2"/>
    <x v="3"/>
    <x v="1"/>
    <x v="0"/>
    <x v="7"/>
    <s v="No"/>
  </r>
  <r>
    <s v="21781A3208"/>
    <s v="Lokesh"/>
    <x v="0"/>
    <n v="89.77"/>
    <x v="0"/>
    <n v="9.67"/>
    <x v="3"/>
    <x v="0"/>
    <x v="0"/>
    <x v="0"/>
    <x v="0"/>
    <m/>
  </r>
  <r>
    <s v="21781A3209"/>
    <s v="Anjali"/>
    <x v="3"/>
    <n v="85.78"/>
    <x v="0"/>
    <n v="8.6"/>
    <x v="3"/>
    <x v="0"/>
    <x v="0"/>
    <x v="0"/>
    <x v="0"/>
    <m/>
  </r>
  <r>
    <s v="23781A3210"/>
    <s v="Kavya"/>
    <x v="5"/>
    <n v="66.92"/>
    <x v="0"/>
    <n v="7.48"/>
    <x v="1"/>
    <x v="0"/>
    <x v="1"/>
    <x v="0"/>
    <x v="8"/>
    <s v="No"/>
  </r>
  <r>
    <s v="21781A3210"/>
    <s v="Kiran"/>
    <x v="5"/>
    <n v="81.8"/>
    <x v="0"/>
    <n v="7.17"/>
    <x v="3"/>
    <x v="0"/>
    <x v="0"/>
    <x v="0"/>
    <x v="0"/>
    <m/>
  </r>
  <r>
    <s v="23781A3211"/>
    <s v="Mahesh"/>
    <x v="5"/>
    <n v="78.45"/>
    <x v="0"/>
    <n v="7.99"/>
    <x v="1"/>
    <x v="0"/>
    <x v="0"/>
    <x v="0"/>
    <x v="0"/>
    <m/>
  </r>
  <r>
    <s v="20781A3211"/>
    <s v="Anjali"/>
    <x v="5"/>
    <n v="95.76"/>
    <x v="0"/>
    <n v="7.69"/>
    <x v="2"/>
    <x v="0"/>
    <x v="0"/>
    <x v="0"/>
    <x v="0"/>
    <m/>
  </r>
  <r>
    <s v="22781A3210"/>
    <s v="Kavya"/>
    <x v="0"/>
    <n v="73.2"/>
    <x v="0"/>
    <n v="6.4"/>
    <x v="0"/>
    <x v="0"/>
    <x v="1"/>
    <x v="0"/>
    <x v="4"/>
    <s v="No"/>
  </r>
  <r>
    <s v="20781A3212"/>
    <s v="Deepika"/>
    <x v="1"/>
    <n v="89.59"/>
    <x v="0"/>
    <n v="6.77"/>
    <x v="2"/>
    <x v="0"/>
    <x v="0"/>
    <x v="0"/>
    <x v="0"/>
    <m/>
  </r>
  <r>
    <s v="20781A3213"/>
    <s v="Swathi"/>
    <x v="2"/>
    <n v="65.86"/>
    <x v="0"/>
    <n v="5.88"/>
    <x v="2"/>
    <x v="0"/>
    <x v="1"/>
    <x v="0"/>
    <x v="6"/>
    <s v="No"/>
  </r>
  <r>
    <s v="20781A3214"/>
    <s v="Pavan"/>
    <x v="3"/>
    <n v="73.680000000000007"/>
    <x v="0"/>
    <n v="7.49"/>
    <x v="2"/>
    <x v="0"/>
    <x v="1"/>
    <x v="0"/>
    <x v="5"/>
    <s v="No"/>
  </r>
  <r>
    <s v="22781A3211"/>
    <s v="Kiran"/>
    <x v="1"/>
    <n v="78.25"/>
    <x v="0"/>
    <n v="8.94"/>
    <x v="0"/>
    <x v="0"/>
    <x v="0"/>
    <x v="0"/>
    <x v="0"/>
    <m/>
  </r>
  <r>
    <s v="23781A3212"/>
    <s v="Manoj"/>
    <x v="5"/>
    <n v="86.86"/>
    <x v="0"/>
    <n v="5.96"/>
    <x v="1"/>
    <x v="0"/>
    <x v="0"/>
    <x v="0"/>
    <x v="0"/>
    <m/>
  </r>
  <r>
    <s v="21781A3211"/>
    <s v="Kiran"/>
    <x v="1"/>
    <n v="91.8"/>
    <x v="0"/>
    <n v="5.39"/>
    <x v="3"/>
    <x v="0"/>
    <x v="0"/>
    <x v="0"/>
    <x v="0"/>
    <m/>
  </r>
  <r>
    <s v="21781A3212"/>
    <s v="Raghava"/>
    <x v="3"/>
    <n v="83.2"/>
    <x v="0"/>
    <n v="5.68"/>
    <x v="3"/>
    <x v="0"/>
    <x v="0"/>
    <x v="0"/>
    <x v="0"/>
    <m/>
  </r>
  <r>
    <s v="23781A3213"/>
    <s v="Tejaswini"/>
    <x v="5"/>
    <n v="74.28"/>
    <x v="0"/>
    <n v="6.72"/>
    <x v="1"/>
    <x v="0"/>
    <x v="1"/>
    <x v="0"/>
    <x v="4"/>
    <s v="No"/>
  </r>
  <r>
    <s v="21781A3213"/>
    <s v="Srinivas"/>
    <x v="4"/>
    <n v="79.099999999999994"/>
    <x v="0"/>
    <n v="8.31"/>
    <x v="3"/>
    <x v="0"/>
    <x v="0"/>
    <x v="0"/>
    <x v="0"/>
    <m/>
  </r>
  <r>
    <s v="23781A3214"/>
    <s v="Bhavya"/>
    <x v="3"/>
    <n v="65.06"/>
    <x v="1"/>
    <n v="6.35"/>
    <x v="1"/>
    <x v="1"/>
    <x v="1"/>
    <x v="0"/>
    <x v="6"/>
    <s v="No"/>
  </r>
  <r>
    <s v="21781A3214"/>
    <s v="Swathi"/>
    <x v="1"/>
    <n v="64.59"/>
    <x v="0"/>
    <n v="6.89"/>
    <x v="3"/>
    <x v="0"/>
    <x v="0"/>
    <x v="1"/>
    <x v="0"/>
    <m/>
  </r>
  <r>
    <s v="22781A3212"/>
    <s v="Anjali"/>
    <x v="4"/>
    <n v="83.76"/>
    <x v="0"/>
    <n v="7.87"/>
    <x v="0"/>
    <x v="0"/>
    <x v="0"/>
    <x v="0"/>
    <x v="0"/>
    <m/>
  </r>
  <r>
    <s v="23781A3215"/>
    <s v="Raghava"/>
    <x v="5"/>
    <n v="99.83"/>
    <x v="0"/>
    <n v="9.7100000000000009"/>
    <x v="1"/>
    <x v="0"/>
    <x v="0"/>
    <x v="0"/>
    <x v="0"/>
    <m/>
  </r>
  <r>
    <s v="23781A3216"/>
    <s v="Lokesh"/>
    <x v="1"/>
    <n v="96.83"/>
    <x v="0"/>
    <n v="8.86"/>
    <x v="1"/>
    <x v="0"/>
    <x v="0"/>
    <x v="0"/>
    <x v="0"/>
    <m/>
  </r>
  <r>
    <s v="21781A3215"/>
    <s v="Manoj"/>
    <x v="4"/>
    <n v="90.94"/>
    <x v="1"/>
    <n v="8.9600000000000009"/>
    <x v="3"/>
    <x v="4"/>
    <x v="0"/>
    <x v="0"/>
    <x v="0"/>
    <m/>
  </r>
  <r>
    <s v="20781A3215"/>
    <s v="Praveen"/>
    <x v="3"/>
    <n v="69.510000000000005"/>
    <x v="0"/>
    <n v="5.69"/>
    <x v="2"/>
    <x v="0"/>
    <x v="1"/>
    <x v="0"/>
    <x v="4"/>
    <s v="No"/>
  </r>
  <r>
    <s v="23781A3217"/>
    <s v="Nikhil"/>
    <x v="1"/>
    <n v="70.17"/>
    <x v="0"/>
    <n v="6.41"/>
    <x v="1"/>
    <x v="0"/>
    <x v="1"/>
    <x v="0"/>
    <x v="7"/>
    <s v="No"/>
  </r>
  <r>
    <s v="21781A3216"/>
    <s v="Bhavya"/>
    <x v="5"/>
    <n v="75.150000000000006"/>
    <x v="1"/>
    <n v="7.85"/>
    <x v="3"/>
    <x v="4"/>
    <x v="0"/>
    <x v="0"/>
    <x v="0"/>
    <m/>
  </r>
  <r>
    <s v="22781A3213"/>
    <s v="Pavan"/>
    <x v="4"/>
    <n v="70.2"/>
    <x v="0"/>
    <n v="5.94"/>
    <x v="0"/>
    <x v="0"/>
    <x v="1"/>
    <x v="0"/>
    <x v="5"/>
    <s v="No"/>
  </r>
  <r>
    <s v="23781A3218"/>
    <s v="Vamsi"/>
    <x v="3"/>
    <n v="65.790000000000006"/>
    <x v="0"/>
    <n v="6.58"/>
    <x v="1"/>
    <x v="0"/>
    <x v="1"/>
    <x v="0"/>
    <x v="8"/>
    <s v="No"/>
  </r>
  <r>
    <s v="21781A3217"/>
    <s v="Kavya"/>
    <x v="5"/>
    <n v="66.77"/>
    <x v="0"/>
    <n v="7.38"/>
    <x v="3"/>
    <x v="0"/>
    <x v="1"/>
    <x v="0"/>
    <x v="1"/>
    <s v="No"/>
  </r>
  <r>
    <s v="22781A3214"/>
    <s v="Mahesh"/>
    <x v="5"/>
    <n v="95.1"/>
    <x v="0"/>
    <n v="6.33"/>
    <x v="0"/>
    <x v="0"/>
    <x v="0"/>
    <x v="0"/>
    <x v="0"/>
    <m/>
  </r>
  <r>
    <s v="20781A3216"/>
    <s v="Akhila"/>
    <x v="2"/>
    <n v="81.45"/>
    <x v="0"/>
    <n v="5.55"/>
    <x v="2"/>
    <x v="0"/>
    <x v="0"/>
    <x v="0"/>
    <x v="0"/>
    <m/>
  </r>
  <r>
    <s v="21781A3218"/>
    <s v="Harini"/>
    <x v="3"/>
    <n v="94.87"/>
    <x v="0"/>
    <n v="8.8699999999999992"/>
    <x v="3"/>
    <x v="0"/>
    <x v="0"/>
    <x v="0"/>
    <x v="0"/>
    <m/>
  </r>
  <r>
    <s v="20781A3217"/>
    <s v="Sumalatha"/>
    <x v="4"/>
    <n v="89.85"/>
    <x v="1"/>
    <n v="7.8"/>
    <x v="2"/>
    <x v="3"/>
    <x v="0"/>
    <x v="0"/>
    <x v="0"/>
    <m/>
  </r>
  <r>
    <s v="21781A3219"/>
    <s v="Nikhil"/>
    <x v="2"/>
    <n v="95.54"/>
    <x v="0"/>
    <n v="5.0999999999999996"/>
    <x v="3"/>
    <x v="0"/>
    <x v="0"/>
    <x v="0"/>
    <x v="0"/>
    <m/>
  </r>
  <r>
    <s v="20781A3218"/>
    <s v="Mahesh"/>
    <x v="4"/>
    <n v="82.37"/>
    <x v="0"/>
    <n v="8.1"/>
    <x v="2"/>
    <x v="0"/>
    <x v="0"/>
    <x v="0"/>
    <x v="0"/>
    <m/>
  </r>
  <r>
    <s v="23781A3219"/>
    <s v="Praveen"/>
    <x v="1"/>
    <n v="68.39"/>
    <x v="0"/>
    <n v="7.11"/>
    <x v="1"/>
    <x v="0"/>
    <x v="1"/>
    <x v="0"/>
    <x v="8"/>
    <s v="No"/>
  </r>
  <r>
    <s v="21781A3220"/>
    <s v="Priya"/>
    <x v="2"/>
    <n v="88.56"/>
    <x v="0"/>
    <n v="8.99"/>
    <x v="3"/>
    <x v="0"/>
    <x v="0"/>
    <x v="0"/>
    <x v="0"/>
    <m/>
  </r>
  <r>
    <s v="23781A3220"/>
    <s v="Divya"/>
    <x v="2"/>
    <n v="78.53"/>
    <x v="0"/>
    <n v="8.48"/>
    <x v="1"/>
    <x v="0"/>
    <x v="0"/>
    <x v="0"/>
    <x v="0"/>
    <m/>
  </r>
  <r>
    <s v="23781A3221"/>
    <s v="Akhila"/>
    <x v="5"/>
    <n v="66.099999999999994"/>
    <x v="0"/>
    <n v="7.79"/>
    <x v="1"/>
    <x v="0"/>
    <x v="1"/>
    <x v="0"/>
    <x v="9"/>
    <s v="No"/>
  </r>
  <r>
    <s v="22781A3215"/>
    <s v="Mahesh"/>
    <x v="5"/>
    <n v="99.76"/>
    <x v="0"/>
    <n v="7"/>
    <x v="0"/>
    <x v="0"/>
    <x v="0"/>
    <x v="0"/>
    <x v="0"/>
    <m/>
  </r>
  <r>
    <s v="20781A3219"/>
    <s v="Nikhil"/>
    <x v="5"/>
    <n v="84.44"/>
    <x v="0"/>
    <n v="6.71"/>
    <x v="2"/>
    <x v="0"/>
    <x v="0"/>
    <x v="0"/>
    <x v="0"/>
    <m/>
  </r>
  <r>
    <s v="21781A3221"/>
    <s v="Srinivas"/>
    <x v="2"/>
    <n v="76.16"/>
    <x v="0"/>
    <n v="7.21"/>
    <x v="3"/>
    <x v="0"/>
    <x v="0"/>
    <x v="0"/>
    <x v="0"/>
    <m/>
  </r>
  <r>
    <s v="20781A3220"/>
    <s v="Rahul"/>
    <x v="1"/>
    <n v="72.8"/>
    <x v="0"/>
    <n v="6.3"/>
    <x v="2"/>
    <x v="0"/>
    <x v="1"/>
    <x v="0"/>
    <x v="5"/>
    <s v="No"/>
  </r>
  <r>
    <s v="23781A3222"/>
    <s v="Harini"/>
    <x v="5"/>
    <n v="73.81"/>
    <x v="0"/>
    <n v="9.19"/>
    <x v="1"/>
    <x v="0"/>
    <x v="1"/>
    <x v="0"/>
    <x v="8"/>
    <s v="No"/>
  </r>
  <r>
    <s v="20781A3221"/>
    <s v="Chaitanya"/>
    <x v="5"/>
    <n v="97.39"/>
    <x v="0"/>
    <n v="5.0599999999999996"/>
    <x v="2"/>
    <x v="0"/>
    <x v="0"/>
    <x v="0"/>
    <x v="0"/>
    <m/>
  </r>
  <r>
    <s v="22781A3216"/>
    <s v="Lakshmi"/>
    <x v="5"/>
    <n v="69.55"/>
    <x v="0"/>
    <n v="9.74"/>
    <x v="0"/>
    <x v="0"/>
    <x v="1"/>
    <x v="0"/>
    <x v="2"/>
    <s v="No"/>
  </r>
  <r>
    <s v="22781A3217"/>
    <s v="Chaitanya"/>
    <x v="3"/>
    <n v="65.36"/>
    <x v="0"/>
    <n v="6.88"/>
    <x v="0"/>
    <x v="0"/>
    <x v="1"/>
    <x v="0"/>
    <x v="9"/>
    <s v="No"/>
  </r>
  <r>
    <s v="21781A3222"/>
    <s v="Chaitanya"/>
    <x v="1"/>
    <n v="70.930000000000007"/>
    <x v="0"/>
    <n v="5.27"/>
    <x v="3"/>
    <x v="0"/>
    <x v="1"/>
    <x v="0"/>
    <x v="4"/>
    <s v="No"/>
  </r>
  <r>
    <s v="22781A3218"/>
    <s v="Deepika"/>
    <x v="2"/>
    <n v="69.22"/>
    <x v="0"/>
    <n v="5.23"/>
    <x v="0"/>
    <x v="0"/>
    <x v="1"/>
    <x v="0"/>
    <x v="7"/>
    <s v="No"/>
  </r>
  <r>
    <s v="21781A3223"/>
    <s v="Kavya"/>
    <x v="2"/>
    <n v="77.27"/>
    <x v="0"/>
    <n v="8.83"/>
    <x v="3"/>
    <x v="0"/>
    <x v="0"/>
    <x v="0"/>
    <x v="0"/>
    <m/>
  </r>
  <r>
    <s v="20781A3222"/>
    <s v="Nikhil"/>
    <x v="2"/>
    <n v="68.33"/>
    <x v="0"/>
    <n v="7.95"/>
    <x v="2"/>
    <x v="0"/>
    <x v="1"/>
    <x v="0"/>
    <x v="5"/>
    <s v="No"/>
  </r>
  <r>
    <s v="20781A3223"/>
    <s v="Sindhu"/>
    <x v="3"/>
    <n v="71.42"/>
    <x v="0"/>
    <n v="9.1999999999999993"/>
    <x v="2"/>
    <x v="0"/>
    <x v="1"/>
    <x v="0"/>
    <x v="8"/>
    <s v="No"/>
  </r>
  <r>
    <s v="21781A3224"/>
    <s v="Bhavya"/>
    <x v="1"/>
    <n v="65.680000000000007"/>
    <x v="0"/>
    <n v="9.5299999999999994"/>
    <x v="3"/>
    <x v="0"/>
    <x v="1"/>
    <x v="0"/>
    <x v="1"/>
    <s v="Yes"/>
  </r>
  <r>
    <s v="22781A3219"/>
    <s v="Harini"/>
    <x v="3"/>
    <n v="76.05"/>
    <x v="0"/>
    <n v="7.8"/>
    <x v="0"/>
    <x v="0"/>
    <x v="0"/>
    <x v="0"/>
    <x v="0"/>
    <m/>
  </r>
  <r>
    <s v="21781A3225"/>
    <s v="Suresh"/>
    <x v="3"/>
    <n v="79.069999999999993"/>
    <x v="0"/>
    <n v="9.64"/>
    <x v="3"/>
    <x v="0"/>
    <x v="0"/>
    <x v="0"/>
    <x v="0"/>
    <m/>
  </r>
  <r>
    <s v="23781A3223"/>
    <s v="Deepika"/>
    <x v="4"/>
    <n v="96.48"/>
    <x v="0"/>
    <n v="7.68"/>
    <x v="1"/>
    <x v="0"/>
    <x v="0"/>
    <x v="0"/>
    <x v="0"/>
    <m/>
  </r>
  <r>
    <s v="21781A3226"/>
    <s v="Chaitanya"/>
    <x v="0"/>
    <n v="96.07"/>
    <x v="0"/>
    <n v="5.0199999999999996"/>
    <x v="3"/>
    <x v="0"/>
    <x v="0"/>
    <x v="0"/>
    <x v="0"/>
    <m/>
  </r>
  <r>
    <s v="20781A3224"/>
    <s v="Raghava"/>
    <x v="1"/>
    <n v="61.88"/>
    <x v="0"/>
    <n v="5.92"/>
    <x v="2"/>
    <x v="0"/>
    <x v="0"/>
    <x v="1"/>
    <x v="0"/>
    <m/>
  </r>
  <r>
    <s v="22781A3220"/>
    <s v="Kiran"/>
    <x v="3"/>
    <n v="64.27"/>
    <x v="0"/>
    <n v="8.3800000000000008"/>
    <x v="0"/>
    <x v="0"/>
    <x v="0"/>
    <x v="1"/>
    <x v="0"/>
    <m/>
  </r>
  <r>
    <s v="23781A3224"/>
    <s v="Chaitanya"/>
    <x v="3"/>
    <n v="67.92"/>
    <x v="0"/>
    <n v="6.23"/>
    <x v="1"/>
    <x v="0"/>
    <x v="1"/>
    <x v="0"/>
    <x v="8"/>
    <s v="No"/>
  </r>
  <r>
    <s v="20781A3225"/>
    <s v="Sindhu"/>
    <x v="3"/>
    <n v="98.63"/>
    <x v="0"/>
    <n v="6.82"/>
    <x v="2"/>
    <x v="0"/>
    <x v="0"/>
    <x v="0"/>
    <x v="0"/>
    <m/>
  </r>
  <r>
    <s v="20781A3226"/>
    <s v="Raghava"/>
    <x v="4"/>
    <n v="60.34"/>
    <x v="0"/>
    <n v="7"/>
    <x v="2"/>
    <x v="0"/>
    <x v="0"/>
    <x v="1"/>
    <x v="0"/>
    <m/>
  </r>
  <r>
    <s v="23781A3225"/>
    <s v="Sindhu"/>
    <x v="5"/>
    <n v="95.3"/>
    <x v="0"/>
    <n v="7.32"/>
    <x v="1"/>
    <x v="0"/>
    <x v="0"/>
    <x v="0"/>
    <x v="0"/>
    <m/>
  </r>
  <r>
    <s v="23781A3226"/>
    <s v="Anjali"/>
    <x v="0"/>
    <n v="91.12"/>
    <x v="0"/>
    <n v="7.68"/>
    <x v="1"/>
    <x v="0"/>
    <x v="0"/>
    <x v="0"/>
    <x v="0"/>
    <m/>
  </r>
  <r>
    <s v="23781A3227"/>
    <s v="Pavan"/>
    <x v="0"/>
    <n v="88.15"/>
    <x v="1"/>
    <n v="9.75"/>
    <x v="1"/>
    <x v="1"/>
    <x v="0"/>
    <x v="0"/>
    <x v="0"/>
    <m/>
  </r>
  <r>
    <s v="22781A3221"/>
    <s v="Bhavya"/>
    <x v="5"/>
    <n v="94.43"/>
    <x v="0"/>
    <n v="7.45"/>
    <x v="0"/>
    <x v="0"/>
    <x v="0"/>
    <x v="0"/>
    <x v="0"/>
    <m/>
  </r>
  <r>
    <s v="22781A3222"/>
    <s v="Nikhil"/>
    <x v="1"/>
    <n v="78.5"/>
    <x v="0"/>
    <n v="8.49"/>
    <x v="0"/>
    <x v="0"/>
    <x v="0"/>
    <x v="0"/>
    <x v="0"/>
    <m/>
  </r>
  <r>
    <s v="22781A3223"/>
    <s v="Priya"/>
    <x v="4"/>
    <n v="62.53"/>
    <x v="1"/>
    <n v="6.05"/>
    <x v="0"/>
    <x v="2"/>
    <x v="0"/>
    <x v="1"/>
    <x v="0"/>
    <m/>
  </r>
  <r>
    <s v="21781A3227"/>
    <s v="Mahesh"/>
    <x v="5"/>
    <n v="91.6"/>
    <x v="0"/>
    <n v="8.06"/>
    <x v="3"/>
    <x v="0"/>
    <x v="0"/>
    <x v="0"/>
    <x v="0"/>
    <m/>
  </r>
  <r>
    <s v="20781A3227"/>
    <s v="Keerthi"/>
    <x v="1"/>
    <n v="97.61"/>
    <x v="0"/>
    <n v="7.1"/>
    <x v="2"/>
    <x v="0"/>
    <x v="0"/>
    <x v="0"/>
    <x v="0"/>
    <m/>
  </r>
  <r>
    <s v="22781A3224"/>
    <s v="Lakshmi"/>
    <x v="3"/>
    <n v="78.34"/>
    <x v="1"/>
    <n v="8"/>
    <x v="0"/>
    <x v="2"/>
    <x v="0"/>
    <x v="0"/>
    <x v="0"/>
    <m/>
  </r>
  <r>
    <s v="22781A3225"/>
    <s v="Harini"/>
    <x v="0"/>
    <n v="78.56"/>
    <x v="0"/>
    <n v="5.7"/>
    <x v="0"/>
    <x v="0"/>
    <x v="0"/>
    <x v="0"/>
    <x v="0"/>
    <m/>
  </r>
  <r>
    <s v="22781A3226"/>
    <s v="Deepika"/>
    <x v="2"/>
    <n v="93.62"/>
    <x v="0"/>
    <n v="6.44"/>
    <x v="0"/>
    <x v="0"/>
    <x v="0"/>
    <x v="0"/>
    <x v="0"/>
    <m/>
  </r>
  <r>
    <s v="20781A3228"/>
    <s v="Chaitanya"/>
    <x v="3"/>
    <n v="69.05"/>
    <x v="0"/>
    <n v="8.4499999999999993"/>
    <x v="2"/>
    <x v="0"/>
    <x v="1"/>
    <x v="0"/>
    <x v="6"/>
    <s v="No"/>
  </r>
  <r>
    <s v="21781A3228"/>
    <s v="Keerthi"/>
    <x v="2"/>
    <n v="65.39"/>
    <x v="0"/>
    <n v="8.66"/>
    <x v="3"/>
    <x v="0"/>
    <x v="1"/>
    <x v="0"/>
    <x v="5"/>
    <s v="No"/>
  </r>
  <r>
    <s v="20781A3229"/>
    <s v="Bhavya"/>
    <x v="5"/>
    <n v="70.44"/>
    <x v="0"/>
    <n v="6.53"/>
    <x v="2"/>
    <x v="0"/>
    <x v="1"/>
    <x v="0"/>
    <x v="8"/>
    <s v="Yes"/>
  </r>
  <r>
    <s v="20781A3230"/>
    <s v="Tejaswini"/>
    <x v="4"/>
    <n v="77.47"/>
    <x v="0"/>
    <n v="7.27"/>
    <x v="2"/>
    <x v="0"/>
    <x v="0"/>
    <x v="0"/>
    <x v="0"/>
    <m/>
  </r>
  <r>
    <s v="23781A3228"/>
    <s v="Sindhu"/>
    <x v="3"/>
    <n v="97.86"/>
    <x v="1"/>
    <n v="7.68"/>
    <x v="1"/>
    <x v="1"/>
    <x v="0"/>
    <x v="0"/>
    <x v="0"/>
    <m/>
  </r>
  <r>
    <s v="22781A3227"/>
    <s v="Deepika"/>
    <x v="0"/>
    <n v="89.52"/>
    <x v="0"/>
    <n v="7.22"/>
    <x v="0"/>
    <x v="0"/>
    <x v="0"/>
    <x v="0"/>
    <x v="0"/>
    <m/>
  </r>
  <r>
    <s v="23781A3229"/>
    <s v="Pavan"/>
    <x v="1"/>
    <n v="98.22"/>
    <x v="0"/>
    <n v="6.92"/>
    <x v="1"/>
    <x v="0"/>
    <x v="0"/>
    <x v="0"/>
    <x v="0"/>
    <m/>
  </r>
  <r>
    <s v="22781A3228"/>
    <s v="Vamsi"/>
    <x v="4"/>
    <n v="71.650000000000006"/>
    <x v="0"/>
    <n v="9"/>
    <x v="0"/>
    <x v="0"/>
    <x v="1"/>
    <x v="0"/>
    <x v="7"/>
    <s v="No"/>
  </r>
  <r>
    <s v="20781A3231"/>
    <s v="Praveen"/>
    <x v="5"/>
    <n v="85.4"/>
    <x v="0"/>
    <n v="6.14"/>
    <x v="2"/>
    <x v="0"/>
    <x v="0"/>
    <x v="0"/>
    <x v="0"/>
    <m/>
  </r>
  <r>
    <s v="22781A3229"/>
    <s v="Pavan"/>
    <x v="4"/>
    <n v="72.37"/>
    <x v="0"/>
    <n v="7.14"/>
    <x v="0"/>
    <x v="0"/>
    <x v="1"/>
    <x v="0"/>
    <x v="5"/>
    <s v="No"/>
  </r>
  <r>
    <s v="23781A3230"/>
    <s v="Naveen"/>
    <x v="1"/>
    <n v="92.99"/>
    <x v="0"/>
    <n v="6.07"/>
    <x v="1"/>
    <x v="0"/>
    <x v="0"/>
    <x v="0"/>
    <x v="0"/>
    <m/>
  </r>
  <r>
    <s v="22781A3230"/>
    <s v="Tejaswini"/>
    <x v="3"/>
    <n v="90.24"/>
    <x v="0"/>
    <n v="9.6300000000000008"/>
    <x v="0"/>
    <x v="0"/>
    <x v="0"/>
    <x v="0"/>
    <x v="0"/>
    <m/>
  </r>
  <r>
    <s v="23781A3231"/>
    <s v="Anjali"/>
    <x v="3"/>
    <n v="79.819999999999993"/>
    <x v="0"/>
    <n v="6.5"/>
    <x v="1"/>
    <x v="0"/>
    <x v="0"/>
    <x v="0"/>
    <x v="0"/>
    <m/>
  </r>
  <r>
    <s v="21781A3229"/>
    <s v="Priya"/>
    <x v="1"/>
    <n v="82.69"/>
    <x v="0"/>
    <n v="8.0399999999999991"/>
    <x v="3"/>
    <x v="0"/>
    <x v="0"/>
    <x v="0"/>
    <x v="0"/>
    <m/>
  </r>
  <r>
    <s v="23781A3232"/>
    <s v="Suresh"/>
    <x v="1"/>
    <n v="83.2"/>
    <x v="0"/>
    <n v="9.5399999999999991"/>
    <x v="1"/>
    <x v="0"/>
    <x v="0"/>
    <x v="0"/>
    <x v="0"/>
    <m/>
  </r>
  <r>
    <s v="22781A3231"/>
    <s v="Kavya"/>
    <x v="1"/>
    <n v="95.24"/>
    <x v="1"/>
    <n v="6.38"/>
    <x v="0"/>
    <x v="2"/>
    <x v="0"/>
    <x v="0"/>
    <x v="0"/>
    <m/>
  </r>
  <r>
    <s v="20781A3232"/>
    <s v="Akhila"/>
    <x v="2"/>
    <n v="63.84"/>
    <x v="0"/>
    <n v="5.67"/>
    <x v="2"/>
    <x v="0"/>
    <x v="0"/>
    <x v="1"/>
    <x v="0"/>
    <m/>
  </r>
  <r>
    <s v="23781A3233"/>
    <s v="Kavya"/>
    <x v="3"/>
    <n v="93.64"/>
    <x v="0"/>
    <n v="7.87"/>
    <x v="1"/>
    <x v="0"/>
    <x v="0"/>
    <x v="0"/>
    <x v="0"/>
    <m/>
  </r>
  <r>
    <s v="21781A3230"/>
    <s v="Mahesh"/>
    <x v="5"/>
    <n v="91.08"/>
    <x v="0"/>
    <n v="6.56"/>
    <x v="3"/>
    <x v="0"/>
    <x v="0"/>
    <x v="0"/>
    <x v="0"/>
    <m/>
  </r>
  <r>
    <s v="21781A3231"/>
    <s v="Bhavya"/>
    <x v="2"/>
    <n v="65.55"/>
    <x v="0"/>
    <n v="9.56"/>
    <x v="3"/>
    <x v="0"/>
    <x v="1"/>
    <x v="0"/>
    <x v="1"/>
    <s v="No"/>
  </r>
  <r>
    <s v="20781A3233"/>
    <s v="Vamsi"/>
    <x v="4"/>
    <n v="72.45"/>
    <x v="0"/>
    <n v="8.4499999999999993"/>
    <x v="2"/>
    <x v="0"/>
    <x v="1"/>
    <x v="0"/>
    <x v="2"/>
    <s v="No"/>
  </r>
  <r>
    <s v="22781A3232"/>
    <s v="Vamsi"/>
    <x v="1"/>
    <n v="96.1"/>
    <x v="0"/>
    <n v="5.79"/>
    <x v="0"/>
    <x v="0"/>
    <x v="0"/>
    <x v="0"/>
    <x v="0"/>
    <m/>
  </r>
  <r>
    <s v="23781A3234"/>
    <s v="Naveen"/>
    <x v="1"/>
    <n v="88.21"/>
    <x v="0"/>
    <n v="6.54"/>
    <x v="1"/>
    <x v="0"/>
    <x v="0"/>
    <x v="0"/>
    <x v="0"/>
    <m/>
  </r>
  <r>
    <s v="20781A3234"/>
    <s v="Mahesh"/>
    <x v="2"/>
    <n v="81.39"/>
    <x v="0"/>
    <n v="6.66"/>
    <x v="2"/>
    <x v="0"/>
    <x v="0"/>
    <x v="0"/>
    <x v="0"/>
    <m/>
  </r>
  <r>
    <s v="22781A3233"/>
    <s v="Sindhu"/>
    <x v="2"/>
    <n v="71.39"/>
    <x v="0"/>
    <n v="8.6199999999999992"/>
    <x v="0"/>
    <x v="0"/>
    <x v="1"/>
    <x v="0"/>
    <x v="6"/>
    <s v="No"/>
  </r>
  <r>
    <s v="21781A3232"/>
    <s v="Swathi"/>
    <x v="2"/>
    <n v="69.2"/>
    <x v="1"/>
    <n v="8.48"/>
    <x v="3"/>
    <x v="4"/>
    <x v="1"/>
    <x v="0"/>
    <x v="5"/>
    <s v="No"/>
  </r>
  <r>
    <s v="23781A3235"/>
    <s v="Saneeth"/>
    <x v="3"/>
    <n v="62.33"/>
    <x v="0"/>
    <n v="5.19"/>
    <x v="1"/>
    <x v="0"/>
    <x v="0"/>
    <x v="1"/>
    <x v="0"/>
    <m/>
  </r>
  <r>
    <s v="23781A3236"/>
    <s v="Mahesh"/>
    <x v="2"/>
    <n v="79.52"/>
    <x v="1"/>
    <n v="6.99"/>
    <x v="1"/>
    <x v="1"/>
    <x v="0"/>
    <x v="0"/>
    <x v="0"/>
    <m/>
  </r>
  <r>
    <s v="22781A3234"/>
    <s v="Praveen"/>
    <x v="0"/>
    <n v="65.2"/>
    <x v="0"/>
    <n v="7.67"/>
    <x v="0"/>
    <x v="0"/>
    <x v="1"/>
    <x v="0"/>
    <x v="2"/>
    <s v="No"/>
  </r>
  <r>
    <s v="23781A3237"/>
    <s v="Saneeth"/>
    <x v="4"/>
    <n v="80.97"/>
    <x v="1"/>
    <n v="5.69"/>
    <x v="1"/>
    <x v="1"/>
    <x v="0"/>
    <x v="0"/>
    <x v="0"/>
    <m/>
  </r>
  <r>
    <s v="21781A3233"/>
    <s v="Swathi"/>
    <x v="0"/>
    <n v="66.709999999999994"/>
    <x v="0"/>
    <n v="6.66"/>
    <x v="3"/>
    <x v="0"/>
    <x v="1"/>
    <x v="0"/>
    <x v="4"/>
    <s v="No"/>
  </r>
  <r>
    <s v="20781A3235"/>
    <s v="Kiran"/>
    <x v="4"/>
    <n v="96.11"/>
    <x v="0"/>
    <n v="5.1100000000000003"/>
    <x v="2"/>
    <x v="0"/>
    <x v="0"/>
    <x v="0"/>
    <x v="0"/>
    <m/>
  </r>
  <r>
    <s v="23781A3238"/>
    <s v="Suresh"/>
    <x v="5"/>
    <n v="71.23"/>
    <x v="0"/>
    <n v="9.34"/>
    <x v="1"/>
    <x v="0"/>
    <x v="1"/>
    <x v="0"/>
    <x v="6"/>
    <s v="No"/>
  </r>
  <r>
    <s v="20781A3236"/>
    <s v="Kavya"/>
    <x v="1"/>
    <n v="83.57"/>
    <x v="0"/>
    <n v="8.3800000000000008"/>
    <x v="2"/>
    <x v="0"/>
    <x v="0"/>
    <x v="0"/>
    <x v="0"/>
    <m/>
  </r>
  <r>
    <s v="22781A3235"/>
    <s v="Lokesh"/>
    <x v="4"/>
    <n v="77.709999999999994"/>
    <x v="0"/>
    <n v="8.7899999999999991"/>
    <x v="0"/>
    <x v="0"/>
    <x v="0"/>
    <x v="0"/>
    <x v="0"/>
    <m/>
  </r>
  <r>
    <s v="20781A3237"/>
    <s v="Suresh"/>
    <x v="5"/>
    <n v="83.96"/>
    <x v="0"/>
    <n v="9.49"/>
    <x v="2"/>
    <x v="0"/>
    <x v="0"/>
    <x v="0"/>
    <x v="0"/>
    <m/>
  </r>
  <r>
    <s v="20781A3238"/>
    <s v="Divya"/>
    <x v="3"/>
    <n v="91.23"/>
    <x v="0"/>
    <n v="8.42"/>
    <x v="2"/>
    <x v="0"/>
    <x v="0"/>
    <x v="0"/>
    <x v="0"/>
    <m/>
  </r>
  <r>
    <s v="23781A3239"/>
    <s v="Srinivas"/>
    <x v="0"/>
    <n v="73.150000000000006"/>
    <x v="1"/>
    <n v="7.38"/>
    <x v="1"/>
    <x v="1"/>
    <x v="1"/>
    <x v="0"/>
    <x v="9"/>
    <s v="Yes"/>
  </r>
  <r>
    <s v="20781A3239"/>
    <s v="Harini"/>
    <x v="1"/>
    <n v="68.89"/>
    <x v="0"/>
    <n v="9.16"/>
    <x v="2"/>
    <x v="0"/>
    <x v="1"/>
    <x v="0"/>
    <x v="4"/>
    <s v="Yes"/>
  </r>
  <r>
    <s v="20781A3240"/>
    <s v="Kiran"/>
    <x v="2"/>
    <n v="64.72"/>
    <x v="0"/>
    <n v="9.5399999999999991"/>
    <x v="2"/>
    <x v="0"/>
    <x v="0"/>
    <x v="1"/>
    <x v="0"/>
    <m/>
  </r>
  <r>
    <s v="21781A3234"/>
    <s v="Chaitanya"/>
    <x v="2"/>
    <n v="63.94"/>
    <x v="0"/>
    <n v="9.06"/>
    <x v="3"/>
    <x v="0"/>
    <x v="0"/>
    <x v="1"/>
    <x v="0"/>
    <m/>
  </r>
  <r>
    <s v="21781A3235"/>
    <s v="Manoj"/>
    <x v="1"/>
    <n v="60.09"/>
    <x v="0"/>
    <n v="6.67"/>
    <x v="3"/>
    <x v="0"/>
    <x v="0"/>
    <x v="1"/>
    <x v="0"/>
    <m/>
  </r>
  <r>
    <s v="21781A3236"/>
    <s v="Rohit"/>
    <x v="2"/>
    <n v="97.09"/>
    <x v="0"/>
    <n v="7.47"/>
    <x v="3"/>
    <x v="0"/>
    <x v="0"/>
    <x v="0"/>
    <x v="0"/>
    <m/>
  </r>
  <r>
    <s v="22781A3236"/>
    <s v="Anjali"/>
    <x v="5"/>
    <n v="71.430000000000007"/>
    <x v="0"/>
    <n v="8.56"/>
    <x v="0"/>
    <x v="0"/>
    <x v="1"/>
    <x v="0"/>
    <x v="1"/>
    <s v="No"/>
  </r>
  <r>
    <s v="20781A3241"/>
    <s v="Vamsi"/>
    <x v="5"/>
    <n v="90.25"/>
    <x v="0"/>
    <n v="7.27"/>
    <x v="2"/>
    <x v="0"/>
    <x v="0"/>
    <x v="0"/>
    <x v="0"/>
    <m/>
  </r>
  <r>
    <s v="21781A3237"/>
    <s v="Mahesh"/>
    <x v="1"/>
    <n v="75.94"/>
    <x v="0"/>
    <n v="9.77"/>
    <x v="3"/>
    <x v="0"/>
    <x v="0"/>
    <x v="0"/>
    <x v="0"/>
    <m/>
  </r>
  <r>
    <s v="21781A3238"/>
    <s v="Manoj"/>
    <x v="4"/>
    <n v="92.97"/>
    <x v="1"/>
    <n v="9.31"/>
    <x v="3"/>
    <x v="4"/>
    <x v="0"/>
    <x v="0"/>
    <x v="0"/>
    <m/>
  </r>
  <r>
    <s v="20781A3242"/>
    <s v="Swathi"/>
    <x v="4"/>
    <n v="62.97"/>
    <x v="0"/>
    <n v="7.83"/>
    <x v="2"/>
    <x v="0"/>
    <x v="0"/>
    <x v="1"/>
    <x v="0"/>
    <m/>
  </r>
  <r>
    <s v="21781A3239"/>
    <s v="Chaitanya"/>
    <x v="2"/>
    <n v="67.260000000000005"/>
    <x v="0"/>
    <n v="6.37"/>
    <x v="3"/>
    <x v="0"/>
    <x v="1"/>
    <x v="0"/>
    <x v="6"/>
    <s v="No"/>
  </r>
  <r>
    <s v="22781A3237"/>
    <s v="Kavya"/>
    <x v="1"/>
    <n v="64.84"/>
    <x v="0"/>
    <n v="5.93"/>
    <x v="0"/>
    <x v="0"/>
    <x v="0"/>
    <x v="1"/>
    <x v="0"/>
    <m/>
  </r>
  <r>
    <s v="22781A3238"/>
    <s v="Vamsi"/>
    <x v="4"/>
    <n v="78.12"/>
    <x v="0"/>
    <n v="5.24"/>
    <x v="0"/>
    <x v="0"/>
    <x v="0"/>
    <x v="0"/>
    <x v="0"/>
    <m/>
  </r>
  <r>
    <s v="21781A3240"/>
    <s v="Saneeth"/>
    <x v="2"/>
    <n v="62.21"/>
    <x v="0"/>
    <n v="7.92"/>
    <x v="3"/>
    <x v="0"/>
    <x v="0"/>
    <x v="1"/>
    <x v="0"/>
    <m/>
  </r>
  <r>
    <s v="22781A3239"/>
    <s v="Sumalatha"/>
    <x v="3"/>
    <n v="87.51"/>
    <x v="0"/>
    <n v="5.32"/>
    <x v="0"/>
    <x v="0"/>
    <x v="0"/>
    <x v="0"/>
    <x v="0"/>
    <m/>
  </r>
  <r>
    <s v="20781A3243"/>
    <s v="Lokesh"/>
    <x v="4"/>
    <n v="89.54"/>
    <x v="0"/>
    <n v="6.04"/>
    <x v="2"/>
    <x v="0"/>
    <x v="0"/>
    <x v="0"/>
    <x v="0"/>
    <m/>
  </r>
  <r>
    <s v="20781A3244"/>
    <s v="Kiran"/>
    <x v="0"/>
    <n v="92.99"/>
    <x v="0"/>
    <n v="5.82"/>
    <x v="2"/>
    <x v="0"/>
    <x v="0"/>
    <x v="0"/>
    <x v="0"/>
    <m/>
  </r>
  <r>
    <s v="20781A3245"/>
    <s v="Chaitanya"/>
    <x v="3"/>
    <n v="77.09"/>
    <x v="0"/>
    <n v="6.51"/>
    <x v="2"/>
    <x v="0"/>
    <x v="0"/>
    <x v="0"/>
    <x v="0"/>
    <m/>
  </r>
  <r>
    <s v="20781A3246"/>
    <s v="Mahesh"/>
    <x v="3"/>
    <n v="76.14"/>
    <x v="0"/>
    <n v="8.3800000000000008"/>
    <x v="2"/>
    <x v="0"/>
    <x v="0"/>
    <x v="0"/>
    <x v="0"/>
    <m/>
  </r>
  <r>
    <s v="20781A3247"/>
    <s v="Rahul"/>
    <x v="2"/>
    <n v="82.88"/>
    <x v="0"/>
    <n v="6.3"/>
    <x v="2"/>
    <x v="0"/>
    <x v="0"/>
    <x v="0"/>
    <x v="0"/>
    <m/>
  </r>
  <r>
    <s v="20781A3248"/>
    <s v="Sindhu"/>
    <x v="5"/>
    <n v="76.73"/>
    <x v="0"/>
    <n v="7.81"/>
    <x v="2"/>
    <x v="0"/>
    <x v="0"/>
    <x v="0"/>
    <x v="0"/>
    <m/>
  </r>
  <r>
    <s v="23781A3240"/>
    <s v="Manoj"/>
    <x v="3"/>
    <n v="95.76"/>
    <x v="0"/>
    <n v="8.66"/>
    <x v="1"/>
    <x v="0"/>
    <x v="0"/>
    <x v="0"/>
    <x v="0"/>
    <m/>
  </r>
  <r>
    <s v="20781A3249"/>
    <s v="Manoj"/>
    <x v="1"/>
    <n v="60.6"/>
    <x v="0"/>
    <n v="5.14"/>
    <x v="2"/>
    <x v="0"/>
    <x v="0"/>
    <x v="1"/>
    <x v="0"/>
    <m/>
  </r>
  <r>
    <s v="20781A3250"/>
    <s v="Divya"/>
    <x v="2"/>
    <n v="93.29"/>
    <x v="0"/>
    <n v="5.19"/>
    <x v="2"/>
    <x v="0"/>
    <x v="0"/>
    <x v="0"/>
    <x v="0"/>
    <m/>
  </r>
  <r>
    <s v="23781A3241"/>
    <s v="Srinivas"/>
    <x v="4"/>
    <n v="79.03"/>
    <x v="0"/>
    <n v="6.72"/>
    <x v="1"/>
    <x v="0"/>
    <x v="0"/>
    <x v="0"/>
    <x v="0"/>
    <m/>
  </r>
  <r>
    <s v="21781A3241"/>
    <s v="Raghava"/>
    <x v="4"/>
    <n v="79.28"/>
    <x v="0"/>
    <n v="6.34"/>
    <x v="3"/>
    <x v="0"/>
    <x v="0"/>
    <x v="0"/>
    <x v="0"/>
    <m/>
  </r>
  <r>
    <s v="23781A3242"/>
    <s v="Nikhil"/>
    <x v="5"/>
    <n v="79.3"/>
    <x v="0"/>
    <n v="8.33"/>
    <x v="1"/>
    <x v="0"/>
    <x v="0"/>
    <x v="0"/>
    <x v="0"/>
    <m/>
  </r>
  <r>
    <s v="22781A3240"/>
    <s v="Swathi"/>
    <x v="2"/>
    <n v="82.15"/>
    <x v="0"/>
    <n v="9.33"/>
    <x v="0"/>
    <x v="0"/>
    <x v="0"/>
    <x v="0"/>
    <x v="0"/>
    <m/>
  </r>
  <r>
    <s v="21781A3242"/>
    <s v="Bhavya"/>
    <x v="0"/>
    <n v="67.28"/>
    <x v="0"/>
    <n v="7.23"/>
    <x v="3"/>
    <x v="0"/>
    <x v="1"/>
    <x v="0"/>
    <x v="8"/>
    <s v="No"/>
  </r>
  <r>
    <s v="20781A3251"/>
    <s v="Saneeth"/>
    <x v="2"/>
    <n v="84.48"/>
    <x v="0"/>
    <n v="5.22"/>
    <x v="2"/>
    <x v="0"/>
    <x v="0"/>
    <x v="0"/>
    <x v="0"/>
    <m/>
  </r>
  <r>
    <s v="20781A3252"/>
    <s v="Deepika"/>
    <x v="4"/>
    <n v="95.79"/>
    <x v="0"/>
    <n v="7.06"/>
    <x v="2"/>
    <x v="0"/>
    <x v="0"/>
    <x v="0"/>
    <x v="0"/>
    <m/>
  </r>
  <r>
    <s v="21781A3243"/>
    <s v="Kavya"/>
    <x v="1"/>
    <n v="83.27"/>
    <x v="1"/>
    <n v="6.53"/>
    <x v="3"/>
    <x v="4"/>
    <x v="0"/>
    <x v="0"/>
    <x v="0"/>
    <m/>
  </r>
  <r>
    <s v="21781A3244"/>
    <s v="Naveen"/>
    <x v="4"/>
    <n v="67.33"/>
    <x v="1"/>
    <n v="8.99"/>
    <x v="3"/>
    <x v="4"/>
    <x v="1"/>
    <x v="0"/>
    <x v="4"/>
    <s v="Yes"/>
  </r>
  <r>
    <s v="21781A3245"/>
    <s v="Sumalatha"/>
    <x v="2"/>
    <n v="91"/>
    <x v="0"/>
    <n v="7.95"/>
    <x v="3"/>
    <x v="0"/>
    <x v="0"/>
    <x v="0"/>
    <x v="0"/>
    <m/>
  </r>
  <r>
    <s v="21781A3246"/>
    <s v="Lakshmi"/>
    <x v="1"/>
    <n v="65.13"/>
    <x v="0"/>
    <n v="5.64"/>
    <x v="3"/>
    <x v="0"/>
    <x v="1"/>
    <x v="0"/>
    <x v="6"/>
    <s v="No"/>
  </r>
  <r>
    <s v="22781A3241"/>
    <s v="Mahesh"/>
    <x v="4"/>
    <n v="70.19"/>
    <x v="0"/>
    <n v="7.39"/>
    <x v="0"/>
    <x v="0"/>
    <x v="1"/>
    <x v="0"/>
    <x v="5"/>
    <s v="No"/>
  </r>
  <r>
    <s v="21781A3247"/>
    <s v="Lokesh"/>
    <x v="3"/>
    <n v="64.91"/>
    <x v="0"/>
    <n v="6.95"/>
    <x v="3"/>
    <x v="0"/>
    <x v="0"/>
    <x v="1"/>
    <x v="0"/>
    <m/>
  </r>
  <r>
    <s v="20781A3253"/>
    <s v="Sindhu"/>
    <x v="5"/>
    <n v="71.819999999999993"/>
    <x v="0"/>
    <n v="6.41"/>
    <x v="2"/>
    <x v="0"/>
    <x v="1"/>
    <x v="0"/>
    <x v="1"/>
    <s v="No"/>
  </r>
  <r>
    <s v="20781A3254"/>
    <s v="Lokesh"/>
    <x v="4"/>
    <n v="60.2"/>
    <x v="0"/>
    <n v="8.9"/>
    <x v="2"/>
    <x v="0"/>
    <x v="0"/>
    <x v="1"/>
    <x v="0"/>
    <m/>
  </r>
  <r>
    <s v="23781A3243"/>
    <s v="Rahul"/>
    <x v="5"/>
    <n v="64.760000000000005"/>
    <x v="0"/>
    <n v="9.51"/>
    <x v="1"/>
    <x v="0"/>
    <x v="0"/>
    <x v="1"/>
    <x v="0"/>
    <m/>
  </r>
  <r>
    <s v="23781A3244"/>
    <s v="Pavan"/>
    <x v="0"/>
    <n v="95.84"/>
    <x v="1"/>
    <n v="6.22"/>
    <x v="1"/>
    <x v="1"/>
    <x v="0"/>
    <x v="0"/>
    <x v="0"/>
    <m/>
  </r>
  <r>
    <s v="21781A3248"/>
    <s v="Srinivas"/>
    <x v="4"/>
    <n v="98.34"/>
    <x v="0"/>
    <n v="8.49"/>
    <x v="3"/>
    <x v="0"/>
    <x v="0"/>
    <x v="0"/>
    <x v="0"/>
    <m/>
  </r>
  <r>
    <s v="20781A3255"/>
    <s v="Akhila"/>
    <x v="2"/>
    <n v="95.42"/>
    <x v="0"/>
    <n v="6.36"/>
    <x v="2"/>
    <x v="0"/>
    <x v="0"/>
    <x v="0"/>
    <x v="0"/>
    <m/>
  </r>
  <r>
    <s v="20781A3256"/>
    <s v="Lakshmi"/>
    <x v="2"/>
    <n v="73.94"/>
    <x v="0"/>
    <n v="6.7"/>
    <x v="2"/>
    <x v="0"/>
    <x v="1"/>
    <x v="0"/>
    <x v="5"/>
    <s v="No"/>
  </r>
  <r>
    <s v="20781A3257"/>
    <s v="Mahesh"/>
    <x v="5"/>
    <n v="96.18"/>
    <x v="0"/>
    <n v="5.35"/>
    <x v="2"/>
    <x v="0"/>
    <x v="0"/>
    <x v="0"/>
    <x v="0"/>
    <m/>
  </r>
  <r>
    <s v="21781A3249"/>
    <s v="Kavya"/>
    <x v="2"/>
    <n v="61.15"/>
    <x v="0"/>
    <n v="6.61"/>
    <x v="3"/>
    <x v="0"/>
    <x v="0"/>
    <x v="1"/>
    <x v="0"/>
    <m/>
  </r>
  <r>
    <s v="21781A3250"/>
    <s v="Sindhu"/>
    <x v="5"/>
    <n v="95.75"/>
    <x v="0"/>
    <n v="9.39"/>
    <x v="3"/>
    <x v="0"/>
    <x v="0"/>
    <x v="0"/>
    <x v="0"/>
    <m/>
  </r>
  <r>
    <s v="21781A3251"/>
    <s v="Kavya"/>
    <x v="4"/>
    <n v="97.89"/>
    <x v="0"/>
    <n v="6.35"/>
    <x v="3"/>
    <x v="0"/>
    <x v="0"/>
    <x v="0"/>
    <x v="0"/>
    <m/>
  </r>
  <r>
    <s v="23781A3245"/>
    <s v="Rahul"/>
    <x v="3"/>
    <n v="87.05"/>
    <x v="0"/>
    <n v="6.39"/>
    <x v="1"/>
    <x v="0"/>
    <x v="0"/>
    <x v="0"/>
    <x v="0"/>
    <m/>
  </r>
  <r>
    <s v="20781A3258"/>
    <s v="Pavan"/>
    <x v="1"/>
    <n v="78.19"/>
    <x v="0"/>
    <n v="6.62"/>
    <x v="2"/>
    <x v="0"/>
    <x v="0"/>
    <x v="0"/>
    <x v="0"/>
    <m/>
  </r>
  <r>
    <s v="20781A3259"/>
    <s v="Sumalatha"/>
    <x v="2"/>
    <n v="79.930000000000007"/>
    <x v="0"/>
    <n v="8.1300000000000008"/>
    <x v="2"/>
    <x v="0"/>
    <x v="0"/>
    <x v="0"/>
    <x v="0"/>
    <m/>
  </r>
  <r>
    <s v="21781A3252"/>
    <s v="Rohit"/>
    <x v="4"/>
    <n v="76.19"/>
    <x v="0"/>
    <n v="9.68"/>
    <x v="3"/>
    <x v="0"/>
    <x v="0"/>
    <x v="0"/>
    <x v="0"/>
    <m/>
  </r>
  <r>
    <s v="20781A3260"/>
    <s v="Pavan"/>
    <x v="4"/>
    <n v="82.89"/>
    <x v="0"/>
    <n v="8.66"/>
    <x v="2"/>
    <x v="0"/>
    <x v="0"/>
    <x v="0"/>
    <x v="0"/>
    <m/>
  </r>
  <r>
    <s v="22781A3242"/>
    <s v="Saneeth"/>
    <x v="4"/>
    <n v="80.650000000000006"/>
    <x v="0"/>
    <n v="9.0500000000000007"/>
    <x v="0"/>
    <x v="0"/>
    <x v="0"/>
    <x v="0"/>
    <x v="0"/>
    <m/>
  </r>
  <r>
    <s v="21781A3253"/>
    <s v="Priya"/>
    <x v="2"/>
    <n v="61.16"/>
    <x v="0"/>
    <n v="5.98"/>
    <x v="3"/>
    <x v="0"/>
    <x v="0"/>
    <x v="1"/>
    <x v="0"/>
    <m/>
  </r>
  <r>
    <s v="20781A3261"/>
    <s v="Nikhil"/>
    <x v="2"/>
    <n v="72.150000000000006"/>
    <x v="0"/>
    <n v="6.3"/>
    <x v="2"/>
    <x v="0"/>
    <x v="1"/>
    <x v="0"/>
    <x v="9"/>
    <s v="No"/>
  </r>
  <r>
    <s v="23781A3246"/>
    <s v="Sindhu"/>
    <x v="0"/>
    <n v="80.819999999999993"/>
    <x v="0"/>
    <n v="6.56"/>
    <x v="1"/>
    <x v="0"/>
    <x v="0"/>
    <x v="0"/>
    <x v="0"/>
    <m/>
  </r>
  <r>
    <s v="23781A3247"/>
    <s v="Lakshmi"/>
    <x v="4"/>
    <n v="97.05"/>
    <x v="0"/>
    <n v="7.16"/>
    <x v="1"/>
    <x v="0"/>
    <x v="0"/>
    <x v="0"/>
    <x v="0"/>
    <m/>
  </r>
  <r>
    <s v="21781A3254"/>
    <s v="Lakshmi"/>
    <x v="1"/>
    <n v="91"/>
    <x v="0"/>
    <n v="9.56"/>
    <x v="3"/>
    <x v="0"/>
    <x v="0"/>
    <x v="0"/>
    <x v="0"/>
    <m/>
  </r>
  <r>
    <s v="20781A3262"/>
    <s v="Naveen"/>
    <x v="3"/>
    <n v="85.34"/>
    <x v="0"/>
    <n v="7.62"/>
    <x v="2"/>
    <x v="0"/>
    <x v="0"/>
    <x v="0"/>
    <x v="0"/>
    <m/>
  </r>
  <r>
    <s v="23781A3248"/>
    <s v="Lakshmi"/>
    <x v="2"/>
    <n v="72.209999999999994"/>
    <x v="0"/>
    <n v="8.7100000000000009"/>
    <x v="1"/>
    <x v="0"/>
    <x v="1"/>
    <x v="0"/>
    <x v="8"/>
    <s v="No"/>
  </r>
  <r>
    <s v="23781A3249"/>
    <s v="Pavan"/>
    <x v="3"/>
    <n v="78.930000000000007"/>
    <x v="0"/>
    <n v="7.87"/>
    <x v="1"/>
    <x v="0"/>
    <x v="0"/>
    <x v="0"/>
    <x v="0"/>
    <m/>
  </r>
  <r>
    <s v="20781A3263"/>
    <s v="Swathi"/>
    <x v="4"/>
    <n v="90.41"/>
    <x v="0"/>
    <n v="7.2"/>
    <x v="2"/>
    <x v="0"/>
    <x v="0"/>
    <x v="0"/>
    <x v="0"/>
    <m/>
  </r>
  <r>
    <s v="22781A3243"/>
    <s v="Nikhil"/>
    <x v="1"/>
    <n v="79.75"/>
    <x v="0"/>
    <n v="7.9"/>
    <x v="0"/>
    <x v="0"/>
    <x v="0"/>
    <x v="0"/>
    <x v="0"/>
    <m/>
  </r>
  <r>
    <s v="22781A3244"/>
    <s v="Rohit"/>
    <x v="2"/>
    <n v="97.72"/>
    <x v="0"/>
    <n v="7.12"/>
    <x v="0"/>
    <x v="0"/>
    <x v="0"/>
    <x v="0"/>
    <x v="0"/>
    <m/>
  </r>
  <r>
    <s v="21781A3255"/>
    <s v="Raghava"/>
    <x v="1"/>
    <n v="60.89"/>
    <x v="0"/>
    <n v="8.6300000000000008"/>
    <x v="3"/>
    <x v="0"/>
    <x v="0"/>
    <x v="1"/>
    <x v="0"/>
    <m/>
  </r>
  <r>
    <s v="22781A3245"/>
    <s v="Saneeth"/>
    <x v="0"/>
    <n v="62.51"/>
    <x v="0"/>
    <n v="5.93"/>
    <x v="0"/>
    <x v="0"/>
    <x v="0"/>
    <x v="1"/>
    <x v="0"/>
    <m/>
  </r>
  <r>
    <s v="21781A3256"/>
    <s v="Vamsi"/>
    <x v="4"/>
    <n v="82.98"/>
    <x v="0"/>
    <n v="5.67"/>
    <x v="3"/>
    <x v="0"/>
    <x v="0"/>
    <x v="0"/>
    <x v="0"/>
    <m/>
  </r>
  <r>
    <s v="22781A3246"/>
    <s v="Swathi"/>
    <x v="0"/>
    <n v="77.400000000000006"/>
    <x v="1"/>
    <n v="9.31"/>
    <x v="0"/>
    <x v="2"/>
    <x v="0"/>
    <x v="0"/>
    <x v="0"/>
    <m/>
  </r>
  <r>
    <s v="23781A3250"/>
    <s v="Nikhil"/>
    <x v="4"/>
    <n v="61.35"/>
    <x v="1"/>
    <n v="9.1199999999999992"/>
    <x v="1"/>
    <x v="1"/>
    <x v="0"/>
    <x v="1"/>
    <x v="0"/>
    <m/>
  </r>
  <r>
    <s v="20781A3264"/>
    <s v="Saneeth"/>
    <x v="4"/>
    <n v="79.33"/>
    <x v="0"/>
    <n v="8.5500000000000007"/>
    <x v="2"/>
    <x v="0"/>
    <x v="0"/>
    <x v="0"/>
    <x v="0"/>
    <m/>
  </r>
  <r>
    <s v="21781A3257"/>
    <s v="Keerthi"/>
    <x v="4"/>
    <n v="62.79"/>
    <x v="0"/>
    <n v="5.56"/>
    <x v="3"/>
    <x v="0"/>
    <x v="0"/>
    <x v="1"/>
    <x v="0"/>
    <m/>
  </r>
  <r>
    <s v="21781A3258"/>
    <s v="Nikhil"/>
    <x v="2"/>
    <n v="71.23"/>
    <x v="1"/>
    <n v="9.65"/>
    <x v="3"/>
    <x v="4"/>
    <x v="1"/>
    <x v="0"/>
    <x v="4"/>
    <s v="Yes"/>
  </r>
  <r>
    <s v="20781A3265"/>
    <s v="Rohit"/>
    <x v="3"/>
    <n v="95.93"/>
    <x v="0"/>
    <n v="6.29"/>
    <x v="2"/>
    <x v="0"/>
    <x v="0"/>
    <x v="0"/>
    <x v="0"/>
    <m/>
  </r>
  <r>
    <s v="22781A3247"/>
    <s v="Lokesh"/>
    <x v="3"/>
    <n v="69.05"/>
    <x v="0"/>
    <n v="7.73"/>
    <x v="0"/>
    <x v="0"/>
    <x v="1"/>
    <x v="0"/>
    <x v="6"/>
    <s v="No"/>
  </r>
  <r>
    <s v="21781A3259"/>
    <s v="Tejaswini"/>
    <x v="3"/>
    <n v="72.510000000000005"/>
    <x v="0"/>
    <n v="6.44"/>
    <x v="3"/>
    <x v="0"/>
    <x v="1"/>
    <x v="0"/>
    <x v="5"/>
    <s v="No"/>
  </r>
  <r>
    <s v="22781A3248"/>
    <s v="Saneeth"/>
    <x v="3"/>
    <n v="83.36"/>
    <x v="0"/>
    <n v="5.03"/>
    <x v="0"/>
    <x v="0"/>
    <x v="0"/>
    <x v="0"/>
    <x v="0"/>
    <m/>
  </r>
  <r>
    <s v="20781A3266"/>
    <s v="Akhila"/>
    <x v="5"/>
    <n v="79.83"/>
    <x v="0"/>
    <n v="8.42"/>
    <x v="2"/>
    <x v="0"/>
    <x v="0"/>
    <x v="0"/>
    <x v="0"/>
    <m/>
  </r>
  <r>
    <s v="20781A3267"/>
    <s v="Chaitanya"/>
    <x v="0"/>
    <n v="88.95"/>
    <x v="0"/>
    <n v="5.92"/>
    <x v="2"/>
    <x v="0"/>
    <x v="0"/>
    <x v="0"/>
    <x v="0"/>
    <m/>
  </r>
  <r>
    <s v="20781A3268"/>
    <s v="Manoj"/>
    <x v="2"/>
    <n v="99.6"/>
    <x v="0"/>
    <n v="9.4"/>
    <x v="2"/>
    <x v="0"/>
    <x v="0"/>
    <x v="0"/>
    <x v="0"/>
    <m/>
  </r>
  <r>
    <s v="23781A3251"/>
    <s v="Harini"/>
    <x v="2"/>
    <n v="64.89"/>
    <x v="0"/>
    <n v="7.12"/>
    <x v="1"/>
    <x v="0"/>
    <x v="0"/>
    <x v="1"/>
    <x v="0"/>
    <m/>
  </r>
  <r>
    <s v="20781A3269"/>
    <s v="Mahesh"/>
    <x v="2"/>
    <n v="75.239999999999995"/>
    <x v="0"/>
    <n v="8.52"/>
    <x v="2"/>
    <x v="0"/>
    <x v="0"/>
    <x v="0"/>
    <x v="0"/>
    <m/>
  </r>
  <r>
    <s v="21781A3260"/>
    <s v="Keerthi"/>
    <x v="0"/>
    <n v="67.45"/>
    <x v="1"/>
    <n v="6.22"/>
    <x v="3"/>
    <x v="4"/>
    <x v="1"/>
    <x v="0"/>
    <x v="6"/>
    <s v="No"/>
  </r>
  <r>
    <s v="23781A3252"/>
    <s v="Priya"/>
    <x v="3"/>
    <n v="70.5"/>
    <x v="1"/>
    <n v="7.97"/>
    <x v="1"/>
    <x v="1"/>
    <x v="1"/>
    <x v="0"/>
    <x v="5"/>
    <s v="Yes"/>
  </r>
  <r>
    <s v="22781A3249"/>
    <s v="Bhavya"/>
    <x v="2"/>
    <n v="98.86"/>
    <x v="0"/>
    <n v="7.75"/>
    <x v="0"/>
    <x v="0"/>
    <x v="0"/>
    <x v="0"/>
    <x v="0"/>
    <m/>
  </r>
  <r>
    <s v="20781A3270"/>
    <s v="Divya"/>
    <x v="3"/>
    <n v="93.38"/>
    <x v="0"/>
    <n v="7.76"/>
    <x v="2"/>
    <x v="0"/>
    <x v="0"/>
    <x v="0"/>
    <x v="0"/>
    <m/>
  </r>
  <r>
    <s v="21781A3261"/>
    <s v="Srinivas"/>
    <x v="2"/>
    <n v="61.27"/>
    <x v="1"/>
    <n v="9.25"/>
    <x v="3"/>
    <x v="4"/>
    <x v="0"/>
    <x v="1"/>
    <x v="0"/>
    <m/>
  </r>
  <r>
    <s v="20781A3271"/>
    <s v="Bhavya"/>
    <x v="0"/>
    <n v="83.98"/>
    <x v="0"/>
    <n v="7.25"/>
    <x v="2"/>
    <x v="0"/>
    <x v="0"/>
    <x v="0"/>
    <x v="0"/>
    <m/>
  </r>
  <r>
    <s v="21781A3262"/>
    <s v="Lokesh"/>
    <x v="2"/>
    <n v="97.97"/>
    <x v="0"/>
    <n v="5.48"/>
    <x v="3"/>
    <x v="0"/>
    <x v="0"/>
    <x v="0"/>
    <x v="0"/>
    <m/>
  </r>
  <r>
    <s v="23781A3253"/>
    <s v="Kavya"/>
    <x v="4"/>
    <n v="99.91"/>
    <x v="0"/>
    <n v="8.31"/>
    <x v="1"/>
    <x v="0"/>
    <x v="0"/>
    <x v="0"/>
    <x v="0"/>
    <m/>
  </r>
  <r>
    <s v="21781A3263"/>
    <s v="Sumalatha"/>
    <x v="5"/>
    <n v="77.430000000000007"/>
    <x v="0"/>
    <n v="5.68"/>
    <x v="3"/>
    <x v="0"/>
    <x v="0"/>
    <x v="0"/>
    <x v="0"/>
    <m/>
  </r>
  <r>
    <s v="23781A3254"/>
    <s v="Akhila"/>
    <x v="4"/>
    <n v="95.4"/>
    <x v="0"/>
    <n v="7.85"/>
    <x v="1"/>
    <x v="0"/>
    <x v="0"/>
    <x v="0"/>
    <x v="0"/>
    <m/>
  </r>
  <r>
    <s v="21781A3264"/>
    <s v="Rohit"/>
    <x v="1"/>
    <n v="78.53"/>
    <x v="0"/>
    <n v="5.84"/>
    <x v="3"/>
    <x v="0"/>
    <x v="0"/>
    <x v="0"/>
    <x v="0"/>
    <m/>
  </r>
  <r>
    <s v="22781A3250"/>
    <s v="Sindhu"/>
    <x v="0"/>
    <n v="71.23"/>
    <x v="0"/>
    <n v="7.74"/>
    <x v="0"/>
    <x v="0"/>
    <x v="1"/>
    <x v="0"/>
    <x v="1"/>
    <s v="No"/>
  </r>
  <r>
    <s v="22781A3251"/>
    <s v="Pavan"/>
    <x v="5"/>
    <n v="63.09"/>
    <x v="0"/>
    <n v="6.78"/>
    <x v="0"/>
    <x v="0"/>
    <x v="0"/>
    <x v="1"/>
    <x v="0"/>
    <m/>
  </r>
  <r>
    <s v="21781A3265"/>
    <s v="Anjali"/>
    <x v="4"/>
    <n v="93.35"/>
    <x v="0"/>
    <n v="8.31"/>
    <x v="3"/>
    <x v="0"/>
    <x v="0"/>
    <x v="0"/>
    <x v="0"/>
    <m/>
  </r>
  <r>
    <s v="23781A3255"/>
    <s v="Kiran"/>
    <x v="5"/>
    <n v="85.2"/>
    <x v="0"/>
    <n v="6.39"/>
    <x v="1"/>
    <x v="0"/>
    <x v="0"/>
    <x v="0"/>
    <x v="0"/>
    <m/>
  </r>
  <r>
    <s v="20781A3272"/>
    <s v="Nikhil"/>
    <x v="5"/>
    <n v="92.72"/>
    <x v="0"/>
    <n v="7.47"/>
    <x v="2"/>
    <x v="0"/>
    <x v="0"/>
    <x v="0"/>
    <x v="0"/>
    <m/>
  </r>
  <r>
    <s v="21781A3266"/>
    <s v="Suresh"/>
    <x v="0"/>
    <n v="78.459999999999994"/>
    <x v="0"/>
    <n v="9.15"/>
    <x v="3"/>
    <x v="0"/>
    <x v="0"/>
    <x v="0"/>
    <x v="0"/>
    <m/>
  </r>
  <r>
    <s v="23781A3256"/>
    <s v="Mahesh"/>
    <x v="2"/>
    <n v="78.42"/>
    <x v="0"/>
    <n v="6.95"/>
    <x v="1"/>
    <x v="0"/>
    <x v="0"/>
    <x v="0"/>
    <x v="0"/>
    <m/>
  </r>
  <r>
    <s v="21781A3267"/>
    <s v="Priya"/>
    <x v="1"/>
    <n v="99.28"/>
    <x v="0"/>
    <n v="5.93"/>
    <x v="3"/>
    <x v="0"/>
    <x v="0"/>
    <x v="0"/>
    <x v="0"/>
    <m/>
  </r>
  <r>
    <s v="22781A3252"/>
    <s v="Chaitanya"/>
    <x v="2"/>
    <n v="92.22"/>
    <x v="0"/>
    <n v="6.68"/>
    <x v="0"/>
    <x v="0"/>
    <x v="0"/>
    <x v="0"/>
    <x v="0"/>
    <m/>
  </r>
  <r>
    <s v="20781A3273"/>
    <s v="Srinivas"/>
    <x v="2"/>
    <n v="67.180000000000007"/>
    <x v="0"/>
    <n v="7.48"/>
    <x v="2"/>
    <x v="0"/>
    <x v="1"/>
    <x v="0"/>
    <x v="2"/>
    <s v="No"/>
  </r>
  <r>
    <s v="22781A3253"/>
    <s v="Mahesh"/>
    <x v="0"/>
    <n v="92.84"/>
    <x v="0"/>
    <n v="7.52"/>
    <x v="0"/>
    <x v="0"/>
    <x v="0"/>
    <x v="0"/>
    <x v="0"/>
    <m/>
  </r>
  <r>
    <s v="23781A3257"/>
    <s v="Pavan"/>
    <x v="5"/>
    <n v="70.78"/>
    <x v="0"/>
    <n v="5.62"/>
    <x v="1"/>
    <x v="0"/>
    <x v="1"/>
    <x v="0"/>
    <x v="4"/>
    <s v="Yes"/>
  </r>
  <r>
    <s v="22781A3254"/>
    <s v="Swathi"/>
    <x v="4"/>
    <n v="86.54"/>
    <x v="0"/>
    <n v="8.24"/>
    <x v="0"/>
    <x v="0"/>
    <x v="0"/>
    <x v="0"/>
    <x v="0"/>
    <m/>
  </r>
  <r>
    <s v="22781A3255"/>
    <s v="Srinivas"/>
    <x v="3"/>
    <n v="89.39"/>
    <x v="0"/>
    <n v="6.78"/>
    <x v="0"/>
    <x v="0"/>
    <x v="0"/>
    <x v="0"/>
    <x v="0"/>
    <m/>
  </r>
  <r>
    <s v="23781A3258"/>
    <s v="Anjali"/>
    <x v="3"/>
    <n v="97.27"/>
    <x v="0"/>
    <n v="7.05"/>
    <x v="1"/>
    <x v="0"/>
    <x v="0"/>
    <x v="0"/>
    <x v="0"/>
    <m/>
  </r>
  <r>
    <s v="21781A3268"/>
    <s v="Praveen"/>
    <x v="4"/>
    <n v="70.290000000000006"/>
    <x v="0"/>
    <n v="6.91"/>
    <x v="3"/>
    <x v="0"/>
    <x v="1"/>
    <x v="0"/>
    <x v="8"/>
    <s v="No"/>
  </r>
  <r>
    <s v="20781A3274"/>
    <s v="Rohit"/>
    <x v="0"/>
    <n v="91.99"/>
    <x v="0"/>
    <n v="7.17"/>
    <x v="2"/>
    <x v="0"/>
    <x v="0"/>
    <x v="0"/>
    <x v="0"/>
    <m/>
  </r>
  <r>
    <s v="20781A3275"/>
    <s v="Mahesh"/>
    <x v="0"/>
    <n v="76.760000000000005"/>
    <x v="1"/>
    <n v="5.66"/>
    <x v="2"/>
    <x v="3"/>
    <x v="0"/>
    <x v="0"/>
    <x v="0"/>
    <m/>
  </r>
  <r>
    <s v="23781A3259"/>
    <s v="Raghava"/>
    <x v="0"/>
    <n v="65.56"/>
    <x v="0"/>
    <n v="6.72"/>
    <x v="1"/>
    <x v="0"/>
    <x v="1"/>
    <x v="0"/>
    <x v="9"/>
    <s v="Yes"/>
  </r>
  <r>
    <s v="22781A3256"/>
    <s v="Kiran"/>
    <x v="4"/>
    <n v="85.26"/>
    <x v="0"/>
    <n v="6.51"/>
    <x v="0"/>
    <x v="0"/>
    <x v="0"/>
    <x v="0"/>
    <x v="0"/>
    <m/>
  </r>
  <r>
    <s v="23781A3260"/>
    <s v="Akhila"/>
    <x v="3"/>
    <n v="92.36"/>
    <x v="0"/>
    <n v="8.3699999999999992"/>
    <x v="1"/>
    <x v="0"/>
    <x v="0"/>
    <x v="0"/>
    <x v="0"/>
    <m/>
  </r>
  <r>
    <s v="22781A3257"/>
    <s v="Tejaswini"/>
    <x v="1"/>
    <n v="96.9"/>
    <x v="0"/>
    <n v="7.49"/>
    <x v="0"/>
    <x v="0"/>
    <x v="0"/>
    <x v="0"/>
    <x v="0"/>
    <m/>
  </r>
  <r>
    <s v="21781A3269"/>
    <s v="Keerthi"/>
    <x v="1"/>
    <n v="96.11"/>
    <x v="0"/>
    <n v="5.32"/>
    <x v="3"/>
    <x v="0"/>
    <x v="0"/>
    <x v="0"/>
    <x v="0"/>
    <m/>
  </r>
  <r>
    <s v="23781A3261"/>
    <s v="Mahesh"/>
    <x v="2"/>
    <n v="91.85"/>
    <x v="0"/>
    <n v="5.97"/>
    <x v="1"/>
    <x v="0"/>
    <x v="0"/>
    <x v="0"/>
    <x v="0"/>
    <m/>
  </r>
  <r>
    <s v="20781A3276"/>
    <s v="Divya"/>
    <x v="5"/>
    <n v="84.99"/>
    <x v="0"/>
    <n v="7.49"/>
    <x v="2"/>
    <x v="0"/>
    <x v="0"/>
    <x v="0"/>
    <x v="0"/>
    <m/>
  </r>
  <r>
    <s v="23781A3262"/>
    <s v="Chaitanya"/>
    <x v="1"/>
    <n v="67.94"/>
    <x v="0"/>
    <n v="7.7"/>
    <x v="1"/>
    <x v="0"/>
    <x v="1"/>
    <x v="0"/>
    <x v="2"/>
    <s v="No"/>
  </r>
  <r>
    <s v="22781A3258"/>
    <s v="Sumalatha"/>
    <x v="0"/>
    <n v="74.319999999999993"/>
    <x v="0"/>
    <n v="8.27"/>
    <x v="0"/>
    <x v="0"/>
    <x v="1"/>
    <x v="0"/>
    <x v="9"/>
    <s v="Yes"/>
  </r>
  <r>
    <s v="20781A3277"/>
    <s v="Sindhu"/>
    <x v="2"/>
    <n v="76.98"/>
    <x v="0"/>
    <n v="5.13"/>
    <x v="2"/>
    <x v="0"/>
    <x v="0"/>
    <x v="0"/>
    <x v="0"/>
    <m/>
  </r>
  <r>
    <s v="23781A3263"/>
    <s v="Lakshmi"/>
    <x v="1"/>
    <n v="96.2"/>
    <x v="0"/>
    <n v="6.13"/>
    <x v="1"/>
    <x v="0"/>
    <x v="0"/>
    <x v="0"/>
    <x v="0"/>
    <m/>
  </r>
  <r>
    <s v="21781A3270"/>
    <s v="Manoj"/>
    <x v="1"/>
    <n v="89.22"/>
    <x v="0"/>
    <n v="8.58"/>
    <x v="3"/>
    <x v="0"/>
    <x v="0"/>
    <x v="0"/>
    <x v="0"/>
    <m/>
  </r>
  <r>
    <s v="21781A3271"/>
    <s v="Priya"/>
    <x v="3"/>
    <n v="83.97"/>
    <x v="0"/>
    <n v="6.89"/>
    <x v="3"/>
    <x v="0"/>
    <x v="0"/>
    <x v="0"/>
    <x v="0"/>
    <m/>
  </r>
  <r>
    <s v="20781A3278"/>
    <s v="Rahul"/>
    <x v="0"/>
    <n v="98.02"/>
    <x v="0"/>
    <n v="8.4"/>
    <x v="2"/>
    <x v="0"/>
    <x v="0"/>
    <x v="0"/>
    <x v="0"/>
    <m/>
  </r>
  <r>
    <s v="22781A3259"/>
    <s v="Mahesh"/>
    <x v="1"/>
    <n v="77.48"/>
    <x v="0"/>
    <n v="5.61"/>
    <x v="0"/>
    <x v="0"/>
    <x v="0"/>
    <x v="0"/>
    <x v="0"/>
    <m/>
  </r>
  <r>
    <s v="21781A3272"/>
    <s v="Harini"/>
    <x v="2"/>
    <n v="87.7"/>
    <x v="0"/>
    <n v="5.08"/>
    <x v="3"/>
    <x v="0"/>
    <x v="0"/>
    <x v="0"/>
    <x v="0"/>
    <m/>
  </r>
  <r>
    <s v="21781A3273"/>
    <s v="Nikhil"/>
    <x v="1"/>
    <n v="96.53"/>
    <x v="1"/>
    <n v="9.6300000000000008"/>
    <x v="3"/>
    <x v="4"/>
    <x v="0"/>
    <x v="0"/>
    <x v="0"/>
    <m/>
  </r>
  <r>
    <s v="23781A3264"/>
    <s v="Lakshmi"/>
    <x v="0"/>
    <n v="80.44"/>
    <x v="0"/>
    <n v="5.87"/>
    <x v="1"/>
    <x v="0"/>
    <x v="0"/>
    <x v="0"/>
    <x v="0"/>
    <m/>
  </r>
  <r>
    <s v="20781A3279"/>
    <s v="Bhavya"/>
    <x v="5"/>
    <n v="78.37"/>
    <x v="0"/>
    <n v="5.46"/>
    <x v="2"/>
    <x v="0"/>
    <x v="0"/>
    <x v="0"/>
    <x v="0"/>
    <m/>
  </r>
  <r>
    <s v="22781A3260"/>
    <s v="Mahesh"/>
    <x v="3"/>
    <n v="99"/>
    <x v="0"/>
    <n v="9.7799999999999994"/>
    <x v="0"/>
    <x v="0"/>
    <x v="0"/>
    <x v="0"/>
    <x v="0"/>
    <m/>
  </r>
  <r>
    <s v="21781A3274"/>
    <s v="Saneeth"/>
    <x v="1"/>
    <n v="66.33"/>
    <x v="0"/>
    <n v="7.17"/>
    <x v="3"/>
    <x v="0"/>
    <x v="1"/>
    <x v="0"/>
    <x v="5"/>
    <s v="No"/>
  </r>
  <r>
    <s v="22781A3261"/>
    <s v="Saneeth"/>
    <x v="1"/>
    <n v="91.56"/>
    <x v="0"/>
    <n v="6.15"/>
    <x v="0"/>
    <x v="0"/>
    <x v="0"/>
    <x v="0"/>
    <x v="0"/>
    <m/>
  </r>
  <r>
    <s v="22781A3262"/>
    <s v="Kiran"/>
    <x v="2"/>
    <n v="94.31"/>
    <x v="0"/>
    <n v="5.65"/>
    <x v="0"/>
    <x v="0"/>
    <x v="0"/>
    <x v="0"/>
    <x v="0"/>
    <m/>
  </r>
  <r>
    <s v="20781A3280"/>
    <s v="Mahesh"/>
    <x v="0"/>
    <n v="85.12"/>
    <x v="0"/>
    <n v="9.44"/>
    <x v="2"/>
    <x v="0"/>
    <x v="0"/>
    <x v="0"/>
    <x v="0"/>
    <m/>
  </r>
  <r>
    <s v="20781A3281"/>
    <s v="Swathi"/>
    <x v="3"/>
    <n v="67.11"/>
    <x v="0"/>
    <n v="9.6199999999999992"/>
    <x v="2"/>
    <x v="0"/>
    <x v="1"/>
    <x v="0"/>
    <x v="9"/>
    <s v="No"/>
  </r>
  <r>
    <s v="23781A3265"/>
    <s v="Akhila"/>
    <x v="5"/>
    <n v="81.900000000000006"/>
    <x v="1"/>
    <n v="8.4600000000000009"/>
    <x v="1"/>
    <x v="1"/>
    <x v="0"/>
    <x v="0"/>
    <x v="0"/>
    <m/>
  </r>
  <r>
    <s v="21781A3275"/>
    <s v="Raghava"/>
    <x v="1"/>
    <n v="85.46"/>
    <x v="0"/>
    <n v="6.01"/>
    <x v="3"/>
    <x v="0"/>
    <x v="0"/>
    <x v="0"/>
    <x v="0"/>
    <m/>
  </r>
  <r>
    <s v="22781A3263"/>
    <s v="Kiran"/>
    <x v="3"/>
    <n v="65.069999999999993"/>
    <x v="0"/>
    <n v="8.92"/>
    <x v="0"/>
    <x v="0"/>
    <x v="1"/>
    <x v="0"/>
    <x v="6"/>
    <s v="No"/>
  </r>
  <r>
    <s v="23781A3266"/>
    <s v="Anjali"/>
    <x v="1"/>
    <n v="82.18"/>
    <x v="0"/>
    <n v="5.88"/>
    <x v="1"/>
    <x v="0"/>
    <x v="0"/>
    <x v="0"/>
    <x v="0"/>
    <m/>
  </r>
  <r>
    <s v="21781A3276"/>
    <s v="Sumalatha"/>
    <x v="0"/>
    <n v="87.45"/>
    <x v="0"/>
    <n v="8.5399999999999991"/>
    <x v="3"/>
    <x v="0"/>
    <x v="0"/>
    <x v="0"/>
    <x v="0"/>
    <m/>
  </r>
  <r>
    <s v="23781A3267"/>
    <s v="Rahul"/>
    <x v="1"/>
    <n v="79.44"/>
    <x v="0"/>
    <n v="7.45"/>
    <x v="1"/>
    <x v="0"/>
    <x v="0"/>
    <x v="0"/>
    <x v="0"/>
    <m/>
  </r>
  <r>
    <s v="23781A3268"/>
    <s v="Chaitanya"/>
    <x v="1"/>
    <n v="83.31"/>
    <x v="0"/>
    <n v="5.96"/>
    <x v="1"/>
    <x v="0"/>
    <x v="0"/>
    <x v="0"/>
    <x v="0"/>
    <m/>
  </r>
  <r>
    <s v="20781A3282"/>
    <s v="Rahul"/>
    <x v="5"/>
    <n v="70.38"/>
    <x v="0"/>
    <n v="5.0999999999999996"/>
    <x v="2"/>
    <x v="0"/>
    <x v="1"/>
    <x v="0"/>
    <x v="9"/>
    <s v="No"/>
  </r>
  <r>
    <s v="23781A3269"/>
    <s v="Sumalatha"/>
    <x v="5"/>
    <n v="67.45"/>
    <x v="0"/>
    <n v="8.01"/>
    <x v="1"/>
    <x v="0"/>
    <x v="1"/>
    <x v="0"/>
    <x v="4"/>
    <s v="No"/>
  </r>
  <r>
    <s v="20781A3283"/>
    <s v="Lokesh"/>
    <x v="3"/>
    <n v="68.05"/>
    <x v="0"/>
    <n v="8.9600000000000009"/>
    <x v="2"/>
    <x v="0"/>
    <x v="1"/>
    <x v="0"/>
    <x v="7"/>
    <s v="No"/>
  </r>
  <r>
    <s v="20781A3284"/>
    <s v="Vamsi"/>
    <x v="0"/>
    <n v="77.59"/>
    <x v="0"/>
    <n v="5.37"/>
    <x v="2"/>
    <x v="0"/>
    <x v="0"/>
    <x v="0"/>
    <x v="0"/>
    <m/>
  </r>
  <r>
    <s v="20781A3285"/>
    <s v="Harini"/>
    <x v="2"/>
    <n v="64.930000000000007"/>
    <x v="0"/>
    <n v="7.65"/>
    <x v="2"/>
    <x v="0"/>
    <x v="0"/>
    <x v="1"/>
    <x v="0"/>
    <m/>
  </r>
  <r>
    <s v="20781A3286"/>
    <s v="Chaitanya"/>
    <x v="5"/>
    <n v="74.83"/>
    <x v="0"/>
    <n v="9.0299999999999994"/>
    <x v="2"/>
    <x v="0"/>
    <x v="1"/>
    <x v="0"/>
    <x v="8"/>
    <s v="No"/>
  </r>
  <r>
    <s v="23781A3270"/>
    <s v="Keerthi"/>
    <x v="5"/>
    <n v="88.26"/>
    <x v="0"/>
    <n v="7.94"/>
    <x v="1"/>
    <x v="0"/>
    <x v="0"/>
    <x v="0"/>
    <x v="0"/>
    <m/>
  </r>
  <r>
    <s v="22781A3264"/>
    <s v="Pavan"/>
    <x v="0"/>
    <n v="92.78"/>
    <x v="0"/>
    <n v="7.68"/>
    <x v="0"/>
    <x v="0"/>
    <x v="0"/>
    <x v="0"/>
    <x v="0"/>
    <m/>
  </r>
  <r>
    <s v="23781A3271"/>
    <s v="Kiran"/>
    <x v="4"/>
    <n v="63.72"/>
    <x v="0"/>
    <n v="8.5399999999999991"/>
    <x v="1"/>
    <x v="0"/>
    <x v="0"/>
    <x v="1"/>
    <x v="0"/>
    <m/>
  </r>
  <r>
    <s v="23781A3272"/>
    <s v="Praveen"/>
    <x v="4"/>
    <n v="86.04"/>
    <x v="0"/>
    <n v="5.07"/>
    <x v="1"/>
    <x v="0"/>
    <x v="0"/>
    <x v="0"/>
    <x v="0"/>
    <m/>
  </r>
  <r>
    <s v="23781A3273"/>
    <s v="Bhavya"/>
    <x v="2"/>
    <n v="71.7"/>
    <x v="0"/>
    <n v="5.0599999999999996"/>
    <x v="1"/>
    <x v="0"/>
    <x v="1"/>
    <x v="0"/>
    <x v="7"/>
    <s v="No"/>
  </r>
  <r>
    <s v="23781A3274"/>
    <s v="Lokesh"/>
    <x v="4"/>
    <n v="88.72"/>
    <x v="0"/>
    <n v="7.16"/>
    <x v="1"/>
    <x v="0"/>
    <x v="0"/>
    <x v="0"/>
    <x v="0"/>
    <m/>
  </r>
  <r>
    <s v="22781A3265"/>
    <s v="Raghava"/>
    <x v="0"/>
    <n v="83.07"/>
    <x v="0"/>
    <n v="6.94"/>
    <x v="0"/>
    <x v="0"/>
    <x v="0"/>
    <x v="0"/>
    <x v="0"/>
    <m/>
  </r>
  <r>
    <s v="23781A3275"/>
    <s v="Vamsi"/>
    <x v="5"/>
    <n v="78.36"/>
    <x v="0"/>
    <n v="7.67"/>
    <x v="1"/>
    <x v="0"/>
    <x v="0"/>
    <x v="0"/>
    <x v="0"/>
    <m/>
  </r>
  <r>
    <s v="21781A3277"/>
    <s v="Naveen"/>
    <x v="2"/>
    <n v="81.92"/>
    <x v="0"/>
    <n v="6.05"/>
    <x v="3"/>
    <x v="0"/>
    <x v="0"/>
    <x v="0"/>
    <x v="0"/>
    <m/>
  </r>
  <r>
    <s v="23781A3276"/>
    <s v="Swathi"/>
    <x v="4"/>
    <n v="74.260000000000005"/>
    <x v="0"/>
    <n v="5.64"/>
    <x v="1"/>
    <x v="0"/>
    <x v="1"/>
    <x v="0"/>
    <x v="2"/>
    <s v="No"/>
  </r>
  <r>
    <s v="20781A3287"/>
    <s v="Nikhil"/>
    <x v="5"/>
    <n v="98.69"/>
    <x v="0"/>
    <n v="6.75"/>
    <x v="2"/>
    <x v="0"/>
    <x v="0"/>
    <x v="0"/>
    <x v="0"/>
    <m/>
  </r>
  <r>
    <s v="20781A3288"/>
    <s v="Swathi"/>
    <x v="0"/>
    <n v="90.75"/>
    <x v="0"/>
    <n v="6.44"/>
    <x v="2"/>
    <x v="0"/>
    <x v="0"/>
    <x v="0"/>
    <x v="0"/>
    <m/>
  </r>
  <r>
    <s v="22781A3266"/>
    <s v="Priya"/>
    <x v="5"/>
    <n v="64.13"/>
    <x v="0"/>
    <n v="7.37"/>
    <x v="0"/>
    <x v="0"/>
    <x v="0"/>
    <x v="1"/>
    <x v="0"/>
    <m/>
  </r>
  <r>
    <s v="21781A3278"/>
    <s v="Bhavya"/>
    <x v="2"/>
    <n v="98.01"/>
    <x v="0"/>
    <n v="7.06"/>
    <x v="3"/>
    <x v="0"/>
    <x v="0"/>
    <x v="0"/>
    <x v="0"/>
    <m/>
  </r>
  <r>
    <s v="23781A3277"/>
    <s v="Deepika"/>
    <x v="2"/>
    <n v="69.569999999999993"/>
    <x v="1"/>
    <n v="8.9700000000000006"/>
    <x v="1"/>
    <x v="1"/>
    <x v="1"/>
    <x v="0"/>
    <x v="5"/>
    <s v="No"/>
  </r>
  <r>
    <s v="21781A3279"/>
    <s v="Raghava"/>
    <x v="5"/>
    <n v="91.79"/>
    <x v="0"/>
    <n v="5.78"/>
    <x v="3"/>
    <x v="0"/>
    <x v="0"/>
    <x v="0"/>
    <x v="0"/>
    <m/>
  </r>
  <r>
    <s v="22781A3267"/>
    <s v="Kavya"/>
    <x v="5"/>
    <n v="60.37"/>
    <x v="0"/>
    <n v="6.16"/>
    <x v="0"/>
    <x v="0"/>
    <x v="0"/>
    <x v="1"/>
    <x v="0"/>
    <m/>
  </r>
  <r>
    <s v="23781A3278"/>
    <s v="Akhila"/>
    <x v="5"/>
    <n v="92.51"/>
    <x v="0"/>
    <n v="8.33"/>
    <x v="1"/>
    <x v="0"/>
    <x v="0"/>
    <x v="0"/>
    <x v="0"/>
    <m/>
  </r>
  <r>
    <s v="21781A3280"/>
    <s v="Swathi"/>
    <x v="2"/>
    <n v="70.86"/>
    <x v="0"/>
    <n v="9.43"/>
    <x v="3"/>
    <x v="0"/>
    <x v="1"/>
    <x v="0"/>
    <x v="9"/>
    <s v="No"/>
  </r>
  <r>
    <s v="20781A3289"/>
    <s v="Chaitanya"/>
    <x v="2"/>
    <n v="80.709999999999994"/>
    <x v="0"/>
    <n v="6.78"/>
    <x v="2"/>
    <x v="0"/>
    <x v="0"/>
    <x v="0"/>
    <x v="0"/>
    <m/>
  </r>
  <r>
    <s v="23781A3279"/>
    <s v="Rahul"/>
    <x v="3"/>
    <n v="61.24"/>
    <x v="0"/>
    <n v="9.5500000000000007"/>
    <x v="1"/>
    <x v="0"/>
    <x v="0"/>
    <x v="1"/>
    <x v="0"/>
    <m/>
  </r>
  <r>
    <s v="22781A3268"/>
    <s v="Suresh"/>
    <x v="2"/>
    <n v="72.31"/>
    <x v="0"/>
    <n v="5.18"/>
    <x v="0"/>
    <x v="0"/>
    <x v="1"/>
    <x v="0"/>
    <x v="6"/>
    <s v="No"/>
  </r>
  <r>
    <s v="22781A3269"/>
    <s v="Suresh"/>
    <x v="4"/>
    <n v="72.42"/>
    <x v="1"/>
    <n v="9.52"/>
    <x v="0"/>
    <x v="2"/>
    <x v="1"/>
    <x v="0"/>
    <x v="5"/>
    <s v="No"/>
  </r>
  <r>
    <s v="20781A3290"/>
    <s v="Manoj"/>
    <x v="2"/>
    <n v="82.14"/>
    <x v="0"/>
    <n v="5.08"/>
    <x v="2"/>
    <x v="0"/>
    <x v="0"/>
    <x v="0"/>
    <x v="0"/>
    <m/>
  </r>
  <r>
    <s v="23781A3280"/>
    <s v="Saneeth"/>
    <x v="4"/>
    <n v="82.41"/>
    <x v="0"/>
    <n v="6.06"/>
    <x v="1"/>
    <x v="0"/>
    <x v="0"/>
    <x v="0"/>
    <x v="0"/>
    <m/>
  </r>
  <r>
    <s v="23781A3281"/>
    <s v="Akhila"/>
    <x v="4"/>
    <n v="79.45"/>
    <x v="0"/>
    <n v="9.01"/>
    <x v="1"/>
    <x v="0"/>
    <x v="0"/>
    <x v="0"/>
    <x v="0"/>
    <m/>
  </r>
  <r>
    <s v="22781A3270"/>
    <s v="Priya"/>
    <x v="3"/>
    <n v="92.84"/>
    <x v="0"/>
    <n v="6.41"/>
    <x v="0"/>
    <x v="0"/>
    <x v="0"/>
    <x v="0"/>
    <x v="0"/>
    <m/>
  </r>
  <r>
    <s v="22781A3271"/>
    <s v="Rahul"/>
    <x v="0"/>
    <n v="62.29"/>
    <x v="0"/>
    <n v="5.05"/>
    <x v="0"/>
    <x v="0"/>
    <x v="0"/>
    <x v="1"/>
    <x v="0"/>
    <m/>
  </r>
  <r>
    <s v="22781A3272"/>
    <s v="Praveen"/>
    <x v="4"/>
    <n v="86.4"/>
    <x v="0"/>
    <n v="5.83"/>
    <x v="0"/>
    <x v="0"/>
    <x v="0"/>
    <x v="0"/>
    <x v="0"/>
    <m/>
  </r>
  <r>
    <s v="20781A3291"/>
    <s v="Rohit"/>
    <x v="2"/>
    <n v="63"/>
    <x v="0"/>
    <n v="7.53"/>
    <x v="2"/>
    <x v="0"/>
    <x v="0"/>
    <x v="1"/>
    <x v="0"/>
    <m/>
  </r>
  <r>
    <s v="22781A3273"/>
    <s v="Sindhu"/>
    <x v="0"/>
    <n v="99.82"/>
    <x v="0"/>
    <n v="5.53"/>
    <x v="0"/>
    <x v="0"/>
    <x v="0"/>
    <x v="0"/>
    <x v="0"/>
    <m/>
  </r>
  <r>
    <s v="22781A3274"/>
    <s v="Keerthi"/>
    <x v="2"/>
    <n v="76.69"/>
    <x v="0"/>
    <n v="9.1199999999999992"/>
    <x v="0"/>
    <x v="0"/>
    <x v="0"/>
    <x v="0"/>
    <x v="0"/>
    <m/>
  </r>
  <r>
    <s v="22781A3275"/>
    <s v="Raghava"/>
    <x v="0"/>
    <n v="65.760000000000005"/>
    <x v="0"/>
    <n v="7.68"/>
    <x v="0"/>
    <x v="0"/>
    <x v="1"/>
    <x v="0"/>
    <x v="1"/>
    <s v="No"/>
  </r>
  <r>
    <s v="20781A3292"/>
    <s v="Vamsi"/>
    <x v="1"/>
    <n v="83.95"/>
    <x v="0"/>
    <n v="9.66"/>
    <x v="2"/>
    <x v="0"/>
    <x v="0"/>
    <x v="0"/>
    <x v="0"/>
    <m/>
  </r>
  <r>
    <s v="22781A3276"/>
    <s v="Manoj"/>
    <x v="4"/>
    <n v="98.52"/>
    <x v="0"/>
    <n v="9.1199999999999992"/>
    <x v="0"/>
    <x v="0"/>
    <x v="0"/>
    <x v="0"/>
    <x v="0"/>
    <m/>
  </r>
  <r>
    <s v="21781A3281"/>
    <s v="Akhila"/>
    <x v="2"/>
    <n v="92.77"/>
    <x v="0"/>
    <n v="5.15"/>
    <x v="3"/>
    <x v="0"/>
    <x v="0"/>
    <x v="0"/>
    <x v="0"/>
    <m/>
  </r>
  <r>
    <s v="22781A3277"/>
    <s v="Suresh"/>
    <x v="1"/>
    <n v="91.47"/>
    <x v="1"/>
    <n v="9.0500000000000007"/>
    <x v="0"/>
    <x v="2"/>
    <x v="0"/>
    <x v="0"/>
    <x v="0"/>
    <m/>
  </r>
  <r>
    <s v="23781A3282"/>
    <s v="Vamsi"/>
    <x v="5"/>
    <n v="89.22"/>
    <x v="0"/>
    <n v="8.34"/>
    <x v="1"/>
    <x v="0"/>
    <x v="0"/>
    <x v="0"/>
    <x v="0"/>
    <m/>
  </r>
  <r>
    <s v="22781A3278"/>
    <s v="Vamsi"/>
    <x v="4"/>
    <n v="88.66"/>
    <x v="0"/>
    <n v="7.17"/>
    <x v="0"/>
    <x v="0"/>
    <x v="0"/>
    <x v="0"/>
    <x v="0"/>
    <m/>
  </r>
  <r>
    <s v="22781A3279"/>
    <s v="Praveen"/>
    <x v="5"/>
    <n v="96.49"/>
    <x v="0"/>
    <n v="5.54"/>
    <x v="0"/>
    <x v="0"/>
    <x v="0"/>
    <x v="0"/>
    <x v="0"/>
    <m/>
  </r>
  <r>
    <s v="22781A3280"/>
    <s v="Sindhu"/>
    <x v="2"/>
    <n v="72.13"/>
    <x v="0"/>
    <n v="6.56"/>
    <x v="0"/>
    <x v="0"/>
    <x v="1"/>
    <x v="0"/>
    <x v="1"/>
    <s v="No"/>
  </r>
  <r>
    <s v="20781A3293"/>
    <s v="Bhavya"/>
    <x v="3"/>
    <n v="95.88"/>
    <x v="0"/>
    <n v="8.98"/>
    <x v="2"/>
    <x v="0"/>
    <x v="0"/>
    <x v="0"/>
    <x v="0"/>
    <m/>
  </r>
  <r>
    <s v="21781A3282"/>
    <s v="Vamsi"/>
    <x v="4"/>
    <n v="90.15"/>
    <x v="1"/>
    <n v="5.56"/>
    <x v="3"/>
    <x v="4"/>
    <x v="0"/>
    <x v="0"/>
    <x v="0"/>
    <m/>
  </r>
  <r>
    <s v="21781A3283"/>
    <s v="Chaitanya"/>
    <x v="4"/>
    <n v="89.01"/>
    <x v="0"/>
    <n v="9.33"/>
    <x v="3"/>
    <x v="0"/>
    <x v="0"/>
    <x v="0"/>
    <x v="0"/>
    <m/>
  </r>
  <r>
    <s v="23781A3283"/>
    <s v="Manoj"/>
    <x v="1"/>
    <n v="74.349999999999994"/>
    <x v="1"/>
    <n v="6.87"/>
    <x v="1"/>
    <x v="1"/>
    <x v="1"/>
    <x v="0"/>
    <x v="7"/>
    <s v="No"/>
  </r>
  <r>
    <s v="20781A3294"/>
    <s v="Saneeth"/>
    <x v="2"/>
    <n v="87.99"/>
    <x v="0"/>
    <n v="9.18"/>
    <x v="2"/>
    <x v="0"/>
    <x v="0"/>
    <x v="0"/>
    <x v="0"/>
    <m/>
  </r>
  <r>
    <s v="23781A3284"/>
    <s v="Raghava"/>
    <x v="1"/>
    <n v="88.3"/>
    <x v="0"/>
    <n v="9.5500000000000007"/>
    <x v="1"/>
    <x v="0"/>
    <x v="0"/>
    <x v="0"/>
    <x v="0"/>
    <m/>
  </r>
  <r>
    <s v="20781A3295"/>
    <s v="Tejaswini"/>
    <x v="5"/>
    <n v="89.26"/>
    <x v="0"/>
    <n v="5.33"/>
    <x v="2"/>
    <x v="0"/>
    <x v="0"/>
    <x v="0"/>
    <x v="0"/>
    <m/>
  </r>
  <r>
    <s v="21781A3284"/>
    <s v="Nikhil"/>
    <x v="0"/>
    <n v="98.18"/>
    <x v="0"/>
    <n v="6.37"/>
    <x v="3"/>
    <x v="0"/>
    <x v="0"/>
    <x v="0"/>
    <x v="0"/>
    <m/>
  </r>
  <r>
    <s v="23781A3285"/>
    <s v="Anjali"/>
    <x v="1"/>
    <n v="83.3"/>
    <x v="0"/>
    <n v="6.77"/>
    <x v="1"/>
    <x v="0"/>
    <x v="0"/>
    <x v="0"/>
    <x v="0"/>
    <m/>
  </r>
  <r>
    <s v="23781A3286"/>
    <s v="Mahesh"/>
    <x v="5"/>
    <n v="85.47"/>
    <x v="0"/>
    <n v="5.38"/>
    <x v="1"/>
    <x v="0"/>
    <x v="0"/>
    <x v="0"/>
    <x v="0"/>
    <m/>
  </r>
  <r>
    <s v="20781A3296"/>
    <s v="Pavan"/>
    <x v="2"/>
    <n v="92.88"/>
    <x v="1"/>
    <n v="5.78"/>
    <x v="2"/>
    <x v="3"/>
    <x v="0"/>
    <x v="0"/>
    <x v="0"/>
    <m/>
  </r>
  <r>
    <s v="20781A3297"/>
    <s v="Chaitanya"/>
    <x v="4"/>
    <n v="74.790000000000006"/>
    <x v="0"/>
    <n v="7.19"/>
    <x v="2"/>
    <x v="0"/>
    <x v="1"/>
    <x v="0"/>
    <x v="7"/>
    <s v="No"/>
  </r>
  <r>
    <s v="22781A3281"/>
    <s v="Mahesh"/>
    <x v="3"/>
    <n v="81.93"/>
    <x v="1"/>
    <n v="7.57"/>
    <x v="0"/>
    <x v="2"/>
    <x v="0"/>
    <x v="0"/>
    <x v="0"/>
    <m/>
  </r>
  <r>
    <s v="22781A3282"/>
    <s v="Bhavya"/>
    <x v="3"/>
    <n v="83.14"/>
    <x v="0"/>
    <n v="9.1199999999999992"/>
    <x v="0"/>
    <x v="0"/>
    <x v="0"/>
    <x v="0"/>
    <x v="0"/>
    <m/>
  </r>
  <r>
    <s v="22781A3283"/>
    <s v="Suresh"/>
    <x v="4"/>
    <n v="79.38"/>
    <x v="0"/>
    <n v="9.1199999999999992"/>
    <x v="0"/>
    <x v="0"/>
    <x v="0"/>
    <x v="0"/>
    <x v="0"/>
    <m/>
  </r>
  <r>
    <s v="21781A3285"/>
    <s v="Harini"/>
    <x v="3"/>
    <n v="61.88"/>
    <x v="0"/>
    <n v="5.03"/>
    <x v="3"/>
    <x v="0"/>
    <x v="0"/>
    <x v="1"/>
    <x v="0"/>
    <m/>
  </r>
  <r>
    <s v="22781A3284"/>
    <s v="Suresh"/>
    <x v="5"/>
    <n v="71.989999999999995"/>
    <x v="0"/>
    <n v="6.69"/>
    <x v="0"/>
    <x v="0"/>
    <x v="1"/>
    <x v="0"/>
    <x v="2"/>
    <s v="No"/>
  </r>
  <r>
    <s v="20781A3298"/>
    <s v="Sindhu"/>
    <x v="3"/>
    <n v="62.46"/>
    <x v="0"/>
    <n v="5.95"/>
    <x v="2"/>
    <x v="0"/>
    <x v="0"/>
    <x v="1"/>
    <x v="0"/>
    <m/>
  </r>
  <r>
    <s v="20781A3299"/>
    <s v="Praveen"/>
    <x v="1"/>
    <n v="70.36"/>
    <x v="0"/>
    <n v="9.68"/>
    <x v="2"/>
    <x v="0"/>
    <x v="1"/>
    <x v="0"/>
    <x v="4"/>
    <s v="No"/>
  </r>
  <r>
    <s v="20781A3300"/>
    <s v="Rohit"/>
    <x v="3"/>
    <n v="94.57"/>
    <x v="0"/>
    <n v="9.26"/>
    <x v="2"/>
    <x v="0"/>
    <x v="0"/>
    <x v="0"/>
    <x v="0"/>
    <m/>
  </r>
  <r>
    <s v="22781A3285"/>
    <s v="Vamsi"/>
    <x v="2"/>
    <n v="64.92"/>
    <x v="0"/>
    <n v="7.2"/>
    <x v="0"/>
    <x v="0"/>
    <x v="0"/>
    <x v="1"/>
    <x v="0"/>
    <m/>
  </r>
  <r>
    <s v="21781A3286"/>
    <s v="Swathi"/>
    <x v="0"/>
    <n v="85.64"/>
    <x v="0"/>
    <n v="6.4"/>
    <x v="3"/>
    <x v="0"/>
    <x v="0"/>
    <x v="0"/>
    <x v="0"/>
    <m/>
  </r>
  <r>
    <s v="22781A3286"/>
    <s v="Sumalatha"/>
    <x v="2"/>
    <n v="75.19"/>
    <x v="0"/>
    <n v="6.72"/>
    <x v="0"/>
    <x v="0"/>
    <x v="0"/>
    <x v="0"/>
    <x v="0"/>
    <m/>
  </r>
  <r>
    <s v="23781A3287"/>
    <s v="Naveen"/>
    <x v="2"/>
    <n v="62.64"/>
    <x v="0"/>
    <n v="9.18"/>
    <x v="1"/>
    <x v="0"/>
    <x v="0"/>
    <x v="1"/>
    <x v="0"/>
    <m/>
  </r>
  <r>
    <s v="21781A3287"/>
    <s v="Nikhil"/>
    <x v="3"/>
    <n v="79.09"/>
    <x v="1"/>
    <n v="7.51"/>
    <x v="3"/>
    <x v="4"/>
    <x v="0"/>
    <x v="0"/>
    <x v="0"/>
    <m/>
  </r>
  <r>
    <s v="22781A3287"/>
    <s v="Deepika"/>
    <x v="3"/>
    <n v="68.34"/>
    <x v="0"/>
    <n v="5.0599999999999996"/>
    <x v="0"/>
    <x v="0"/>
    <x v="1"/>
    <x v="0"/>
    <x v="9"/>
    <s v="No"/>
  </r>
  <r>
    <s v="21781A3288"/>
    <s v="Mahesh"/>
    <x v="4"/>
    <n v="81.73"/>
    <x v="0"/>
    <n v="9.7100000000000009"/>
    <x v="3"/>
    <x v="0"/>
    <x v="0"/>
    <x v="0"/>
    <x v="0"/>
    <m/>
  </r>
  <r>
    <s v="20781A3301"/>
    <s v="Harini"/>
    <x v="4"/>
    <n v="75.72"/>
    <x v="1"/>
    <n v="9.44"/>
    <x v="2"/>
    <x v="3"/>
    <x v="0"/>
    <x v="0"/>
    <x v="0"/>
    <m/>
  </r>
  <r>
    <s v="22781A3288"/>
    <s v="Manoj"/>
    <x v="2"/>
    <n v="99.45"/>
    <x v="0"/>
    <n v="7.25"/>
    <x v="0"/>
    <x v="0"/>
    <x v="0"/>
    <x v="0"/>
    <x v="0"/>
    <m/>
  </r>
  <r>
    <s v="20781A3302"/>
    <s v="Srinivas"/>
    <x v="1"/>
    <n v="91.86"/>
    <x v="0"/>
    <n v="6.16"/>
    <x v="2"/>
    <x v="0"/>
    <x v="0"/>
    <x v="0"/>
    <x v="0"/>
    <m/>
  </r>
  <r>
    <s v="21781A3289"/>
    <s v="Swathi"/>
    <x v="4"/>
    <n v="84.87"/>
    <x v="0"/>
    <n v="5.2"/>
    <x v="3"/>
    <x v="0"/>
    <x v="0"/>
    <x v="0"/>
    <x v="0"/>
    <m/>
  </r>
  <r>
    <s v="22781A3289"/>
    <s v="Priya"/>
    <x v="2"/>
    <n v="85.65"/>
    <x v="0"/>
    <n v="5.75"/>
    <x v="0"/>
    <x v="0"/>
    <x v="0"/>
    <x v="0"/>
    <x v="0"/>
    <m/>
  </r>
  <r>
    <s v="23781A3288"/>
    <s v="Tejaswini"/>
    <x v="4"/>
    <n v="88.42"/>
    <x v="1"/>
    <n v="9.11"/>
    <x v="1"/>
    <x v="1"/>
    <x v="0"/>
    <x v="0"/>
    <x v="0"/>
    <m/>
  </r>
  <r>
    <s v="21781A3290"/>
    <s v="Deepika"/>
    <x v="1"/>
    <n v="89"/>
    <x v="0"/>
    <n v="7.87"/>
    <x v="3"/>
    <x v="0"/>
    <x v="0"/>
    <x v="0"/>
    <x v="0"/>
    <m/>
  </r>
  <r>
    <s v="21781A3291"/>
    <s v="Lokesh"/>
    <x v="2"/>
    <n v="68.930000000000007"/>
    <x v="0"/>
    <n v="7.51"/>
    <x v="3"/>
    <x v="0"/>
    <x v="1"/>
    <x v="0"/>
    <x v="4"/>
    <s v="No"/>
  </r>
  <r>
    <s v="22781A3290"/>
    <s v="Anjali"/>
    <x v="4"/>
    <n v="90.51"/>
    <x v="0"/>
    <n v="7.18"/>
    <x v="0"/>
    <x v="0"/>
    <x v="0"/>
    <x v="0"/>
    <x v="0"/>
    <m/>
  </r>
  <r>
    <s v="21781A3292"/>
    <s v="Praveen"/>
    <x v="3"/>
    <n v="78.78"/>
    <x v="0"/>
    <n v="5.42"/>
    <x v="3"/>
    <x v="0"/>
    <x v="0"/>
    <x v="0"/>
    <x v="0"/>
    <m/>
  </r>
  <r>
    <s v="23781A3289"/>
    <s v="Pavan"/>
    <x v="0"/>
    <n v="87.39"/>
    <x v="0"/>
    <n v="8.7100000000000009"/>
    <x v="1"/>
    <x v="0"/>
    <x v="0"/>
    <x v="0"/>
    <x v="0"/>
    <m/>
  </r>
  <r>
    <s v="21781A3293"/>
    <s v="Rahul"/>
    <x v="0"/>
    <n v="77.81"/>
    <x v="0"/>
    <n v="9.6199999999999992"/>
    <x v="3"/>
    <x v="0"/>
    <x v="0"/>
    <x v="0"/>
    <x v="0"/>
    <m/>
  </r>
  <r>
    <s v="23781A3290"/>
    <s v="Divya"/>
    <x v="4"/>
    <n v="60.54"/>
    <x v="0"/>
    <n v="8.14"/>
    <x v="1"/>
    <x v="0"/>
    <x v="0"/>
    <x v="1"/>
    <x v="0"/>
    <m/>
  </r>
  <r>
    <s v="22781A3291"/>
    <s v="Manoj"/>
    <x v="2"/>
    <n v="69.42"/>
    <x v="0"/>
    <n v="5.67"/>
    <x v="0"/>
    <x v="0"/>
    <x v="1"/>
    <x v="0"/>
    <x v="2"/>
    <s v="No"/>
  </r>
  <r>
    <s v="20781A3303"/>
    <s v="Mahesh"/>
    <x v="0"/>
    <n v="78.739999999999995"/>
    <x v="0"/>
    <n v="5.6"/>
    <x v="2"/>
    <x v="0"/>
    <x v="0"/>
    <x v="0"/>
    <x v="0"/>
    <m/>
  </r>
  <r>
    <s v="23781A3291"/>
    <s v="Praveen"/>
    <x v="3"/>
    <n v="78.89"/>
    <x v="0"/>
    <n v="5.5"/>
    <x v="1"/>
    <x v="0"/>
    <x v="0"/>
    <x v="0"/>
    <x v="0"/>
    <m/>
  </r>
  <r>
    <s v="23781A3292"/>
    <s v="Nikhil"/>
    <x v="4"/>
    <n v="67.790000000000006"/>
    <x v="0"/>
    <n v="7.64"/>
    <x v="1"/>
    <x v="0"/>
    <x v="1"/>
    <x v="0"/>
    <x v="7"/>
    <s v="No"/>
  </r>
  <r>
    <s v="20781A3304"/>
    <s v="Naveen"/>
    <x v="4"/>
    <n v="78.81"/>
    <x v="0"/>
    <n v="8.06"/>
    <x v="2"/>
    <x v="0"/>
    <x v="0"/>
    <x v="0"/>
    <x v="0"/>
    <m/>
  </r>
  <r>
    <s v="23781A3293"/>
    <s v="Mahesh"/>
    <x v="5"/>
    <n v="74.17"/>
    <x v="0"/>
    <n v="9.6300000000000008"/>
    <x v="1"/>
    <x v="0"/>
    <x v="1"/>
    <x v="0"/>
    <x v="5"/>
    <s v="No"/>
  </r>
  <r>
    <s v="22781A3292"/>
    <s v="Tejaswini"/>
    <x v="2"/>
    <n v="83.39"/>
    <x v="0"/>
    <n v="5.84"/>
    <x v="0"/>
    <x v="0"/>
    <x v="0"/>
    <x v="0"/>
    <x v="0"/>
    <m/>
  </r>
  <r>
    <s v="20781A3305"/>
    <s v="Bhavya"/>
    <x v="0"/>
    <n v="96.68"/>
    <x v="0"/>
    <n v="9.66"/>
    <x v="2"/>
    <x v="0"/>
    <x v="0"/>
    <x v="0"/>
    <x v="0"/>
    <m/>
  </r>
  <r>
    <s v="20781A3306"/>
    <s v="Chaitanya"/>
    <x v="4"/>
    <n v="65.87"/>
    <x v="0"/>
    <n v="7.95"/>
    <x v="2"/>
    <x v="0"/>
    <x v="1"/>
    <x v="0"/>
    <x v="2"/>
    <s v="No"/>
  </r>
  <r>
    <s v="21781A3294"/>
    <s v="Mahesh"/>
    <x v="4"/>
    <n v="60.52"/>
    <x v="0"/>
    <n v="7.54"/>
    <x v="3"/>
    <x v="0"/>
    <x v="0"/>
    <x v="1"/>
    <x v="0"/>
    <m/>
  </r>
  <r>
    <s v="23781A3294"/>
    <s v="Nikhil"/>
    <x v="1"/>
    <n v="89.02"/>
    <x v="0"/>
    <n v="6.56"/>
    <x v="1"/>
    <x v="0"/>
    <x v="0"/>
    <x v="0"/>
    <x v="0"/>
    <m/>
  </r>
  <r>
    <s v="22781A3293"/>
    <s v="Swathi"/>
    <x v="3"/>
    <n v="67.58"/>
    <x v="0"/>
    <n v="5.05"/>
    <x v="0"/>
    <x v="0"/>
    <x v="1"/>
    <x v="0"/>
    <x v="7"/>
    <s v="No"/>
  </r>
  <r>
    <s v="20781A3307"/>
    <s v="Lokesh"/>
    <x v="1"/>
    <n v="72.760000000000005"/>
    <x v="0"/>
    <n v="6.22"/>
    <x v="2"/>
    <x v="0"/>
    <x v="1"/>
    <x v="0"/>
    <x v="6"/>
    <s v="No"/>
  </r>
  <r>
    <s v="22781A3294"/>
    <s v="Anjali"/>
    <x v="1"/>
    <n v="94.16"/>
    <x v="0"/>
    <n v="8.34"/>
    <x v="0"/>
    <x v="0"/>
    <x v="0"/>
    <x v="0"/>
    <x v="0"/>
    <m/>
  </r>
  <r>
    <s v="22781A3295"/>
    <s v="Kavya"/>
    <x v="1"/>
    <n v="93.77"/>
    <x v="0"/>
    <n v="9.16"/>
    <x v="0"/>
    <x v="0"/>
    <x v="0"/>
    <x v="0"/>
    <x v="0"/>
    <m/>
  </r>
  <r>
    <s v="23781A3295"/>
    <s v="Suresh"/>
    <x v="2"/>
    <n v="87.55"/>
    <x v="0"/>
    <n v="5.3"/>
    <x v="1"/>
    <x v="0"/>
    <x v="0"/>
    <x v="0"/>
    <x v="0"/>
    <m/>
  </r>
  <r>
    <s v="23781A3296"/>
    <s v="Mahesh"/>
    <x v="1"/>
    <n v="62.53"/>
    <x v="1"/>
    <n v="7.53"/>
    <x v="1"/>
    <x v="1"/>
    <x v="0"/>
    <x v="1"/>
    <x v="0"/>
    <m/>
  </r>
  <r>
    <s v="21781A3295"/>
    <s v="Chaitanya"/>
    <x v="2"/>
    <n v="98.09"/>
    <x v="0"/>
    <n v="7.68"/>
    <x v="3"/>
    <x v="0"/>
    <x v="0"/>
    <x v="0"/>
    <x v="0"/>
    <m/>
  </r>
  <r>
    <s v="20781A3308"/>
    <s v="Suresh"/>
    <x v="3"/>
    <n v="61.57"/>
    <x v="0"/>
    <n v="9.75"/>
    <x v="2"/>
    <x v="0"/>
    <x v="0"/>
    <x v="1"/>
    <x v="0"/>
    <m/>
  </r>
  <r>
    <s v="20781A3309"/>
    <s v="Pavan"/>
    <x v="0"/>
    <n v="90.67"/>
    <x v="1"/>
    <n v="5.39"/>
    <x v="2"/>
    <x v="3"/>
    <x v="0"/>
    <x v="0"/>
    <x v="0"/>
    <m/>
  </r>
  <r>
    <s v="21781A3296"/>
    <s v="Akhila"/>
    <x v="2"/>
    <n v="63.37"/>
    <x v="1"/>
    <n v="7.41"/>
    <x v="3"/>
    <x v="4"/>
    <x v="0"/>
    <x v="1"/>
    <x v="0"/>
    <m/>
  </r>
  <r>
    <s v="22781A3296"/>
    <s v="Sumalatha"/>
    <x v="0"/>
    <n v="81.22"/>
    <x v="1"/>
    <n v="6.69"/>
    <x v="0"/>
    <x v="2"/>
    <x v="0"/>
    <x v="0"/>
    <x v="0"/>
    <m/>
  </r>
  <r>
    <s v="23781A3297"/>
    <s v="Divya"/>
    <x v="1"/>
    <n v="60.31"/>
    <x v="0"/>
    <n v="5.35"/>
    <x v="1"/>
    <x v="0"/>
    <x v="0"/>
    <x v="1"/>
    <x v="0"/>
    <m/>
  </r>
  <r>
    <s v="22781A3297"/>
    <s v="Sumalatha"/>
    <x v="0"/>
    <n v="78.23"/>
    <x v="0"/>
    <n v="6.03"/>
    <x v="0"/>
    <x v="0"/>
    <x v="0"/>
    <x v="0"/>
    <x v="0"/>
    <m/>
  </r>
  <r>
    <s v="22781A3298"/>
    <s v="Srinivas"/>
    <x v="1"/>
    <n v="98.85"/>
    <x v="1"/>
    <n v="9.19"/>
    <x v="0"/>
    <x v="2"/>
    <x v="0"/>
    <x v="0"/>
    <x v="0"/>
    <m/>
  </r>
  <r>
    <s v="21781A3297"/>
    <s v="Kiran"/>
    <x v="1"/>
    <n v="83.19"/>
    <x v="0"/>
    <n v="7.54"/>
    <x v="3"/>
    <x v="0"/>
    <x v="0"/>
    <x v="0"/>
    <x v="0"/>
    <m/>
  </r>
  <r>
    <s v="23781A3298"/>
    <s v="Sindhu"/>
    <x v="1"/>
    <n v="81.48"/>
    <x v="1"/>
    <n v="7.26"/>
    <x v="1"/>
    <x v="1"/>
    <x v="0"/>
    <x v="0"/>
    <x v="0"/>
    <m/>
  </r>
  <r>
    <s v="21781A3298"/>
    <s v="Mahesh"/>
    <x v="3"/>
    <n v="88.35"/>
    <x v="0"/>
    <n v="8.9700000000000006"/>
    <x v="3"/>
    <x v="0"/>
    <x v="0"/>
    <x v="0"/>
    <x v="0"/>
    <m/>
  </r>
  <r>
    <s v="20781A3310"/>
    <s v="Kiran"/>
    <x v="3"/>
    <n v="92.17"/>
    <x v="0"/>
    <n v="5.44"/>
    <x v="2"/>
    <x v="0"/>
    <x v="0"/>
    <x v="0"/>
    <x v="0"/>
    <m/>
  </r>
  <r>
    <s v="22781A3299"/>
    <s v="Praveen"/>
    <x v="2"/>
    <n v="75.510000000000005"/>
    <x v="0"/>
    <n v="7.29"/>
    <x v="0"/>
    <x v="0"/>
    <x v="0"/>
    <x v="0"/>
    <x v="0"/>
    <m/>
  </r>
  <r>
    <s v="21781A3299"/>
    <s v="Chaitanya"/>
    <x v="3"/>
    <n v="99.61"/>
    <x v="1"/>
    <n v="8.9700000000000006"/>
    <x v="3"/>
    <x v="4"/>
    <x v="0"/>
    <x v="0"/>
    <x v="0"/>
    <m/>
  </r>
  <r>
    <s v="20781A3311"/>
    <s v="Nikhil"/>
    <x v="3"/>
    <n v="67.180000000000007"/>
    <x v="0"/>
    <n v="5.95"/>
    <x v="2"/>
    <x v="0"/>
    <x v="1"/>
    <x v="0"/>
    <x v="1"/>
    <s v="No"/>
  </r>
  <r>
    <s v="21781A3300"/>
    <s v="Akhila"/>
    <x v="3"/>
    <n v="63.88"/>
    <x v="0"/>
    <n v="9.58"/>
    <x v="3"/>
    <x v="0"/>
    <x v="0"/>
    <x v="1"/>
    <x v="0"/>
    <m/>
  </r>
  <r>
    <s v="20781A3312"/>
    <s v="Praveen"/>
    <x v="1"/>
    <n v="67.680000000000007"/>
    <x v="0"/>
    <n v="5.85"/>
    <x v="2"/>
    <x v="0"/>
    <x v="1"/>
    <x v="0"/>
    <x v="9"/>
    <s v="No"/>
  </r>
  <r>
    <s v="20781A3313"/>
    <s v="Srinivas"/>
    <x v="5"/>
    <n v="98.35"/>
    <x v="0"/>
    <n v="7.64"/>
    <x v="2"/>
    <x v="0"/>
    <x v="0"/>
    <x v="0"/>
    <x v="0"/>
    <m/>
  </r>
  <r>
    <s v="20781A3314"/>
    <s v="Rahul"/>
    <x v="0"/>
    <n v="65.680000000000007"/>
    <x v="0"/>
    <n v="6.87"/>
    <x v="2"/>
    <x v="0"/>
    <x v="1"/>
    <x v="0"/>
    <x v="7"/>
    <s v="No"/>
  </r>
  <r>
    <s v="20781A3315"/>
    <s v="Srinivas"/>
    <x v="5"/>
    <n v="78.97"/>
    <x v="0"/>
    <n v="6.53"/>
    <x v="2"/>
    <x v="0"/>
    <x v="0"/>
    <x v="0"/>
    <x v="0"/>
    <m/>
  </r>
  <r>
    <s v="22781A3300"/>
    <s v="Tejaswini"/>
    <x v="4"/>
    <n v="84.71"/>
    <x v="0"/>
    <n v="8.52"/>
    <x v="0"/>
    <x v="0"/>
    <x v="0"/>
    <x v="0"/>
    <x v="0"/>
    <m/>
  </r>
  <r>
    <s v="21781A3301"/>
    <s v="Sumalatha"/>
    <x v="1"/>
    <n v="88.29"/>
    <x v="0"/>
    <n v="9.2200000000000006"/>
    <x v="3"/>
    <x v="0"/>
    <x v="0"/>
    <x v="0"/>
    <x v="0"/>
    <m/>
  </r>
  <r>
    <s v="20781A3316"/>
    <s v="Kavya"/>
    <x v="5"/>
    <n v="92.1"/>
    <x v="0"/>
    <n v="5.56"/>
    <x v="2"/>
    <x v="0"/>
    <x v="0"/>
    <x v="0"/>
    <x v="0"/>
    <m/>
  </r>
  <r>
    <s v="21781A3302"/>
    <s v="Kavya"/>
    <x v="5"/>
    <n v="60.9"/>
    <x v="0"/>
    <n v="8.1199999999999992"/>
    <x v="3"/>
    <x v="0"/>
    <x v="0"/>
    <x v="1"/>
    <x v="0"/>
    <m/>
  </r>
  <r>
    <s v="21781A3303"/>
    <s v="Sumalatha"/>
    <x v="2"/>
    <n v="72.59"/>
    <x v="0"/>
    <n v="6.65"/>
    <x v="3"/>
    <x v="0"/>
    <x v="1"/>
    <x v="0"/>
    <x v="9"/>
    <s v="No"/>
  </r>
  <r>
    <s v="20781A3317"/>
    <s v="Divya"/>
    <x v="1"/>
    <n v="81.53"/>
    <x v="0"/>
    <n v="5.09"/>
    <x v="2"/>
    <x v="0"/>
    <x v="0"/>
    <x v="0"/>
    <x v="0"/>
    <m/>
  </r>
  <r>
    <s v="23781A3299"/>
    <s v="Naveen"/>
    <x v="1"/>
    <n v="67.94"/>
    <x v="0"/>
    <n v="5.35"/>
    <x v="1"/>
    <x v="0"/>
    <x v="1"/>
    <x v="0"/>
    <x v="7"/>
    <s v="No"/>
  </r>
  <r>
    <s v="22781A3301"/>
    <s v="Saneeth"/>
    <x v="2"/>
    <n v="61.03"/>
    <x v="0"/>
    <n v="7.31"/>
    <x v="0"/>
    <x v="0"/>
    <x v="0"/>
    <x v="1"/>
    <x v="0"/>
    <m/>
  </r>
  <r>
    <s v="21781A3304"/>
    <s v="Rohit"/>
    <x v="2"/>
    <n v="60.69"/>
    <x v="0"/>
    <n v="7.49"/>
    <x v="3"/>
    <x v="0"/>
    <x v="0"/>
    <x v="1"/>
    <x v="0"/>
    <m/>
  </r>
  <r>
    <s v="22781A3302"/>
    <s v="Akhila"/>
    <x v="3"/>
    <n v="91.08"/>
    <x v="0"/>
    <n v="6.8"/>
    <x v="0"/>
    <x v="0"/>
    <x v="0"/>
    <x v="0"/>
    <x v="0"/>
    <m/>
  </r>
  <r>
    <s v="22781A3303"/>
    <s v="Nikhil"/>
    <x v="2"/>
    <n v="92.34"/>
    <x v="1"/>
    <n v="9.26"/>
    <x v="0"/>
    <x v="2"/>
    <x v="0"/>
    <x v="0"/>
    <x v="0"/>
    <m/>
  </r>
  <r>
    <s v="22781A3304"/>
    <s v="Sindhu"/>
    <x v="4"/>
    <n v="65.31"/>
    <x v="1"/>
    <n v="8.58"/>
    <x v="0"/>
    <x v="2"/>
    <x v="1"/>
    <x v="0"/>
    <x v="2"/>
    <s v="No"/>
  </r>
  <r>
    <s v="21781A3305"/>
    <s v="Rahul"/>
    <x v="2"/>
    <n v="75.88"/>
    <x v="0"/>
    <n v="5.94"/>
    <x v="3"/>
    <x v="0"/>
    <x v="0"/>
    <x v="0"/>
    <x v="0"/>
    <m/>
  </r>
  <r>
    <s v="20781A3318"/>
    <s v="Harini"/>
    <x v="2"/>
    <n v="87.89"/>
    <x v="0"/>
    <n v="9.11"/>
    <x v="2"/>
    <x v="0"/>
    <x v="0"/>
    <x v="0"/>
    <x v="0"/>
    <m/>
  </r>
  <r>
    <s v="21781A3306"/>
    <s v="Mahesh"/>
    <x v="1"/>
    <n v="84.91"/>
    <x v="0"/>
    <n v="6.52"/>
    <x v="3"/>
    <x v="0"/>
    <x v="0"/>
    <x v="0"/>
    <x v="0"/>
    <m/>
  </r>
  <r>
    <s v="21781A3307"/>
    <s v="Praveen"/>
    <x v="1"/>
    <n v="87.83"/>
    <x v="0"/>
    <n v="7.17"/>
    <x v="3"/>
    <x v="0"/>
    <x v="0"/>
    <x v="0"/>
    <x v="0"/>
    <m/>
  </r>
  <r>
    <s v="22781A3305"/>
    <s v="Saneeth"/>
    <x v="5"/>
    <n v="88.78"/>
    <x v="0"/>
    <n v="8.4499999999999993"/>
    <x v="0"/>
    <x v="0"/>
    <x v="0"/>
    <x v="0"/>
    <x v="0"/>
    <m/>
  </r>
  <r>
    <s v="21781A3308"/>
    <s v="Deepika"/>
    <x v="3"/>
    <n v="62.6"/>
    <x v="0"/>
    <n v="5.69"/>
    <x v="3"/>
    <x v="0"/>
    <x v="0"/>
    <x v="1"/>
    <x v="0"/>
    <m/>
  </r>
  <r>
    <s v="22781A3306"/>
    <s v="Sumalatha"/>
    <x v="3"/>
    <n v="85.66"/>
    <x v="0"/>
    <n v="9.27"/>
    <x v="0"/>
    <x v="0"/>
    <x v="0"/>
    <x v="0"/>
    <x v="0"/>
    <m/>
  </r>
  <r>
    <s v="20781A3319"/>
    <s v="Lakshmi"/>
    <x v="2"/>
    <n v="91.16"/>
    <x v="0"/>
    <n v="8.1"/>
    <x v="2"/>
    <x v="0"/>
    <x v="0"/>
    <x v="0"/>
    <x v="0"/>
    <m/>
  </r>
  <r>
    <s v="22781A3307"/>
    <s v="Kiran"/>
    <x v="0"/>
    <n v="78.19"/>
    <x v="0"/>
    <n v="5.74"/>
    <x v="0"/>
    <x v="0"/>
    <x v="0"/>
    <x v="0"/>
    <x v="0"/>
    <m/>
  </r>
  <r>
    <s v="21781A3309"/>
    <s v="Praveen"/>
    <x v="2"/>
    <n v="80.87"/>
    <x v="0"/>
    <n v="6.71"/>
    <x v="3"/>
    <x v="0"/>
    <x v="0"/>
    <x v="0"/>
    <x v="0"/>
    <m/>
  </r>
  <r>
    <s v="22781A3308"/>
    <s v="Sumalatha"/>
    <x v="2"/>
    <n v="78.84"/>
    <x v="0"/>
    <n v="5.21"/>
    <x v="0"/>
    <x v="0"/>
    <x v="0"/>
    <x v="0"/>
    <x v="0"/>
    <m/>
  </r>
  <r>
    <s v="20781A3320"/>
    <s v="Srinivas"/>
    <x v="0"/>
    <n v="80.239999999999995"/>
    <x v="0"/>
    <n v="7.89"/>
    <x v="2"/>
    <x v="0"/>
    <x v="0"/>
    <x v="0"/>
    <x v="0"/>
    <m/>
  </r>
  <r>
    <s v="22781A3309"/>
    <s v="Praveen"/>
    <x v="2"/>
    <n v="70.42"/>
    <x v="0"/>
    <n v="6.84"/>
    <x v="0"/>
    <x v="0"/>
    <x v="1"/>
    <x v="0"/>
    <x v="5"/>
    <s v="No"/>
  </r>
  <r>
    <s v="20781A3321"/>
    <s v="Vamsi"/>
    <x v="1"/>
    <n v="70.66"/>
    <x v="0"/>
    <n v="9.6300000000000008"/>
    <x v="2"/>
    <x v="0"/>
    <x v="1"/>
    <x v="0"/>
    <x v="8"/>
    <s v="Yes"/>
  </r>
  <r>
    <s v="20781A3322"/>
    <s v="Suresh"/>
    <x v="4"/>
    <n v="85.95"/>
    <x v="0"/>
    <n v="8.93"/>
    <x v="2"/>
    <x v="0"/>
    <x v="0"/>
    <x v="0"/>
    <x v="0"/>
    <m/>
  </r>
  <r>
    <s v="21781A3310"/>
    <s v="Praveen"/>
    <x v="3"/>
    <n v="68.260000000000005"/>
    <x v="0"/>
    <n v="6.47"/>
    <x v="3"/>
    <x v="0"/>
    <x v="1"/>
    <x v="0"/>
    <x v="2"/>
    <s v="Yes"/>
  </r>
  <r>
    <s v="20781A3323"/>
    <s v="Tejaswini"/>
    <x v="3"/>
    <n v="75.44"/>
    <x v="0"/>
    <n v="9.58"/>
    <x v="2"/>
    <x v="0"/>
    <x v="0"/>
    <x v="0"/>
    <x v="0"/>
    <m/>
  </r>
  <r>
    <s v="20781A3324"/>
    <s v="Srinivas"/>
    <x v="1"/>
    <n v="65.12"/>
    <x v="0"/>
    <n v="7.68"/>
    <x v="2"/>
    <x v="0"/>
    <x v="1"/>
    <x v="0"/>
    <x v="4"/>
    <s v="No"/>
  </r>
  <r>
    <s v="20781A3325"/>
    <s v="Priya"/>
    <x v="0"/>
    <n v="85.88"/>
    <x v="0"/>
    <n v="8.33"/>
    <x v="2"/>
    <x v="0"/>
    <x v="0"/>
    <x v="0"/>
    <x v="0"/>
    <m/>
  </r>
  <r>
    <s v="23781A3300"/>
    <s v="Sindhu"/>
    <x v="3"/>
    <n v="71.900000000000006"/>
    <x v="0"/>
    <n v="6.76"/>
    <x v="1"/>
    <x v="0"/>
    <x v="1"/>
    <x v="0"/>
    <x v="6"/>
    <s v="Yes"/>
  </r>
  <r>
    <s v="22781A3310"/>
    <s v="Sindhu"/>
    <x v="4"/>
    <n v="82.42"/>
    <x v="1"/>
    <n v="8.0500000000000007"/>
    <x v="0"/>
    <x v="2"/>
    <x v="0"/>
    <x v="0"/>
    <x v="0"/>
    <m/>
  </r>
  <r>
    <s v="21781A3311"/>
    <s v="Tejaswini"/>
    <x v="3"/>
    <n v="94.73"/>
    <x v="0"/>
    <n v="9.02"/>
    <x v="3"/>
    <x v="0"/>
    <x v="0"/>
    <x v="0"/>
    <x v="0"/>
    <m/>
  </r>
  <r>
    <s v="20781A3326"/>
    <s v="Tejaswini"/>
    <x v="3"/>
    <n v="79.08"/>
    <x v="0"/>
    <n v="8.16"/>
    <x v="2"/>
    <x v="0"/>
    <x v="0"/>
    <x v="0"/>
    <x v="0"/>
    <m/>
  </r>
  <r>
    <s v="23781A3301"/>
    <s v="Kavya"/>
    <x v="3"/>
    <n v="91.55"/>
    <x v="0"/>
    <n v="8.36"/>
    <x v="1"/>
    <x v="0"/>
    <x v="0"/>
    <x v="0"/>
    <x v="0"/>
    <m/>
  </r>
  <r>
    <s v="21781A3312"/>
    <s v="Raghava"/>
    <x v="0"/>
    <n v="60.01"/>
    <x v="0"/>
    <n v="6.54"/>
    <x v="3"/>
    <x v="0"/>
    <x v="0"/>
    <x v="1"/>
    <x v="0"/>
    <m/>
  </r>
  <r>
    <s v="20781A3327"/>
    <s v="Swathi"/>
    <x v="4"/>
    <n v="89.98"/>
    <x v="0"/>
    <n v="8.1300000000000008"/>
    <x v="2"/>
    <x v="0"/>
    <x v="0"/>
    <x v="0"/>
    <x v="0"/>
    <m/>
  </r>
  <r>
    <s v="23781A3302"/>
    <s v="Manoj"/>
    <x v="3"/>
    <n v="81.87"/>
    <x v="0"/>
    <n v="6.35"/>
    <x v="1"/>
    <x v="0"/>
    <x v="0"/>
    <x v="0"/>
    <x v="0"/>
    <m/>
  </r>
  <r>
    <s v="21781A3313"/>
    <s v="Chaitanya"/>
    <x v="5"/>
    <n v="65"/>
    <x v="0"/>
    <n v="6.93"/>
    <x v="3"/>
    <x v="0"/>
    <x v="0"/>
    <x v="0"/>
    <x v="0"/>
    <m/>
  </r>
  <r>
    <s v="23781A3303"/>
    <s v="Saneeth"/>
    <x v="3"/>
    <n v="72.37"/>
    <x v="0"/>
    <n v="6.16"/>
    <x v="1"/>
    <x v="0"/>
    <x v="1"/>
    <x v="0"/>
    <x v="5"/>
    <s v="No"/>
  </r>
  <r>
    <s v="20781A3328"/>
    <s v="Raghava"/>
    <x v="4"/>
    <n v="60.1"/>
    <x v="0"/>
    <n v="8.6999999999999993"/>
    <x v="2"/>
    <x v="0"/>
    <x v="0"/>
    <x v="1"/>
    <x v="0"/>
    <m/>
  </r>
  <r>
    <s v="23781A3304"/>
    <s v="Divya"/>
    <x v="5"/>
    <n v="86.82"/>
    <x v="0"/>
    <n v="7.89"/>
    <x v="1"/>
    <x v="0"/>
    <x v="0"/>
    <x v="0"/>
    <x v="0"/>
    <m/>
  </r>
  <r>
    <s v="21781A3314"/>
    <s v="Anjali"/>
    <x v="1"/>
    <n v="82.06"/>
    <x v="0"/>
    <n v="7.54"/>
    <x v="3"/>
    <x v="0"/>
    <x v="0"/>
    <x v="0"/>
    <x v="0"/>
    <m/>
  </r>
  <r>
    <s v="21781A3315"/>
    <s v="Anjali"/>
    <x v="1"/>
    <n v="73.260000000000005"/>
    <x v="0"/>
    <n v="5.38"/>
    <x v="3"/>
    <x v="0"/>
    <x v="1"/>
    <x v="0"/>
    <x v="9"/>
    <s v="No"/>
  </r>
  <r>
    <s v="20781A3329"/>
    <s v="Harini"/>
    <x v="3"/>
    <n v="85.01"/>
    <x v="0"/>
    <n v="6.33"/>
    <x v="2"/>
    <x v="0"/>
    <x v="0"/>
    <x v="0"/>
    <x v="0"/>
    <m/>
  </r>
  <r>
    <s v="23781A3305"/>
    <s v="Rahul"/>
    <x v="3"/>
    <n v="77.13"/>
    <x v="0"/>
    <n v="7.55"/>
    <x v="1"/>
    <x v="0"/>
    <x v="0"/>
    <x v="0"/>
    <x v="0"/>
    <m/>
  </r>
  <r>
    <s v="22781A3311"/>
    <s v="Manoj"/>
    <x v="0"/>
    <n v="76.59"/>
    <x v="0"/>
    <n v="5.0599999999999996"/>
    <x v="0"/>
    <x v="0"/>
    <x v="0"/>
    <x v="0"/>
    <x v="0"/>
    <m/>
  </r>
  <r>
    <s v="20781A3330"/>
    <s v="Mahesh"/>
    <x v="4"/>
    <n v="88.28"/>
    <x v="0"/>
    <n v="5.93"/>
    <x v="2"/>
    <x v="0"/>
    <x v="0"/>
    <x v="0"/>
    <x v="0"/>
    <m/>
  </r>
  <r>
    <s v="21781A3316"/>
    <s v="Swathi"/>
    <x v="4"/>
    <n v="65.010000000000005"/>
    <x v="0"/>
    <n v="8.49"/>
    <x v="3"/>
    <x v="0"/>
    <x v="1"/>
    <x v="0"/>
    <x v="8"/>
    <s v="No"/>
  </r>
  <r>
    <s v="22781A3312"/>
    <s v="Raghava"/>
    <x v="0"/>
    <n v="69.22"/>
    <x v="0"/>
    <n v="5.96"/>
    <x v="0"/>
    <x v="0"/>
    <x v="1"/>
    <x v="0"/>
    <x v="1"/>
    <s v="No"/>
  </r>
  <r>
    <s v="20781A3331"/>
    <s v="Priya"/>
    <x v="1"/>
    <n v="87.88"/>
    <x v="0"/>
    <n v="6.84"/>
    <x v="2"/>
    <x v="0"/>
    <x v="0"/>
    <x v="0"/>
    <x v="0"/>
    <m/>
  </r>
  <r>
    <s v="21781A3317"/>
    <s v="Tejaswini"/>
    <x v="4"/>
    <n v="96.53"/>
    <x v="0"/>
    <n v="6.75"/>
    <x v="3"/>
    <x v="0"/>
    <x v="0"/>
    <x v="0"/>
    <x v="0"/>
    <m/>
  </r>
  <r>
    <s v="20781A3332"/>
    <s v="Harini"/>
    <x v="2"/>
    <n v="77.52"/>
    <x v="0"/>
    <n v="5.81"/>
    <x v="2"/>
    <x v="0"/>
    <x v="0"/>
    <x v="0"/>
    <x v="0"/>
    <m/>
  </r>
  <r>
    <s v="22781A3313"/>
    <s v="Rahul"/>
    <x v="1"/>
    <n v="70.709999999999994"/>
    <x v="0"/>
    <n v="8.83"/>
    <x v="0"/>
    <x v="0"/>
    <x v="1"/>
    <x v="0"/>
    <x v="7"/>
    <s v="No"/>
  </r>
  <r>
    <s v="20781A3333"/>
    <s v="Raghava"/>
    <x v="3"/>
    <n v="65.069999999999993"/>
    <x v="0"/>
    <n v="5.09"/>
    <x v="2"/>
    <x v="0"/>
    <x v="1"/>
    <x v="0"/>
    <x v="6"/>
    <s v="No"/>
  </r>
  <r>
    <s v="22781A3314"/>
    <s v="Akhila"/>
    <x v="2"/>
    <n v="91.52"/>
    <x v="0"/>
    <n v="7.51"/>
    <x v="0"/>
    <x v="0"/>
    <x v="0"/>
    <x v="0"/>
    <x v="0"/>
    <m/>
  </r>
  <r>
    <s v="21781A3318"/>
    <s v="Kiran"/>
    <x v="5"/>
    <n v="90.32"/>
    <x v="0"/>
    <n v="9.33"/>
    <x v="3"/>
    <x v="0"/>
    <x v="0"/>
    <x v="0"/>
    <x v="0"/>
    <m/>
  </r>
  <r>
    <s v="20781A3334"/>
    <s v="Srinivas"/>
    <x v="0"/>
    <n v="69.64"/>
    <x v="0"/>
    <n v="5.55"/>
    <x v="2"/>
    <x v="0"/>
    <x v="1"/>
    <x v="0"/>
    <x v="1"/>
    <s v="No"/>
  </r>
  <r>
    <s v="20781A3335"/>
    <s v="Vamsi"/>
    <x v="3"/>
    <n v="89.3"/>
    <x v="1"/>
    <n v="7.86"/>
    <x v="2"/>
    <x v="3"/>
    <x v="0"/>
    <x v="0"/>
    <x v="0"/>
    <m/>
  </r>
  <r>
    <s v="23781A3306"/>
    <s v="Nikhil"/>
    <x v="3"/>
    <n v="71.53"/>
    <x v="0"/>
    <n v="9.14"/>
    <x v="1"/>
    <x v="0"/>
    <x v="1"/>
    <x v="0"/>
    <x v="9"/>
    <s v="No"/>
  </r>
  <r>
    <s v="22781A3315"/>
    <s v="Mahesh"/>
    <x v="5"/>
    <n v="85.48"/>
    <x v="0"/>
    <n v="9.36"/>
    <x v="0"/>
    <x v="0"/>
    <x v="0"/>
    <x v="0"/>
    <x v="0"/>
    <m/>
  </r>
  <r>
    <s v="23781A3307"/>
    <s v="Nikhil"/>
    <x v="3"/>
    <n v="96.92"/>
    <x v="0"/>
    <n v="6.92"/>
    <x v="1"/>
    <x v="0"/>
    <x v="0"/>
    <x v="0"/>
    <x v="0"/>
    <m/>
  </r>
  <r>
    <s v="20781A3336"/>
    <s v="Mahesh"/>
    <x v="3"/>
    <n v="96.71"/>
    <x v="0"/>
    <n v="7.17"/>
    <x v="2"/>
    <x v="0"/>
    <x v="0"/>
    <x v="0"/>
    <x v="0"/>
    <m/>
  </r>
  <r>
    <s v="21781A3319"/>
    <s v="Kiran"/>
    <x v="1"/>
    <n v="70.97"/>
    <x v="0"/>
    <n v="7.66"/>
    <x v="3"/>
    <x v="0"/>
    <x v="1"/>
    <x v="0"/>
    <x v="5"/>
    <s v="No"/>
  </r>
  <r>
    <s v="23781A3308"/>
    <s v="Suresh"/>
    <x v="3"/>
    <n v="62.37"/>
    <x v="0"/>
    <n v="6.42"/>
    <x v="1"/>
    <x v="0"/>
    <x v="0"/>
    <x v="1"/>
    <x v="0"/>
    <m/>
  </r>
  <r>
    <s v="22781A3316"/>
    <s v="Deepika"/>
    <x v="4"/>
    <n v="84.65"/>
    <x v="0"/>
    <n v="7.13"/>
    <x v="0"/>
    <x v="0"/>
    <x v="0"/>
    <x v="0"/>
    <x v="0"/>
    <m/>
  </r>
  <r>
    <s v="22781A3317"/>
    <s v="Anjali"/>
    <x v="5"/>
    <n v="84.94"/>
    <x v="0"/>
    <n v="7.73"/>
    <x v="0"/>
    <x v="0"/>
    <x v="0"/>
    <x v="0"/>
    <x v="0"/>
    <m/>
  </r>
  <r>
    <s v="20781A3337"/>
    <s v="Lokesh"/>
    <x v="0"/>
    <n v="97"/>
    <x v="0"/>
    <n v="9.66"/>
    <x v="2"/>
    <x v="0"/>
    <x v="0"/>
    <x v="0"/>
    <x v="0"/>
    <m/>
  </r>
  <r>
    <s v="21781A3320"/>
    <s v="Deepika"/>
    <x v="2"/>
    <n v="86.01"/>
    <x v="0"/>
    <n v="5.75"/>
    <x v="3"/>
    <x v="0"/>
    <x v="0"/>
    <x v="0"/>
    <x v="0"/>
    <m/>
  </r>
  <r>
    <s v="21781A3321"/>
    <s v="Chaitanya"/>
    <x v="2"/>
    <n v="68.2"/>
    <x v="0"/>
    <n v="5.0999999999999996"/>
    <x v="3"/>
    <x v="0"/>
    <x v="1"/>
    <x v="0"/>
    <x v="7"/>
    <s v="Yes"/>
  </r>
  <r>
    <s v="21781A3322"/>
    <s v="Nikhil"/>
    <x v="2"/>
    <n v="68.16"/>
    <x v="0"/>
    <n v="8.73"/>
    <x v="3"/>
    <x v="0"/>
    <x v="1"/>
    <x v="0"/>
    <x v="6"/>
    <s v="No"/>
  </r>
  <r>
    <s v="22781A3318"/>
    <s v="Anjali"/>
    <x v="1"/>
    <n v="75.959999999999994"/>
    <x v="0"/>
    <n v="9.6999999999999993"/>
    <x v="0"/>
    <x v="0"/>
    <x v="0"/>
    <x v="0"/>
    <x v="0"/>
    <m/>
  </r>
  <r>
    <s v="21781A3323"/>
    <s v="Nikhil"/>
    <x v="0"/>
    <n v="71.239999999999995"/>
    <x v="0"/>
    <n v="5.57"/>
    <x v="3"/>
    <x v="0"/>
    <x v="1"/>
    <x v="0"/>
    <x v="8"/>
    <s v="No"/>
  </r>
  <r>
    <s v="22781A3319"/>
    <s v="Tejaswini"/>
    <x v="0"/>
    <n v="75.17"/>
    <x v="1"/>
    <n v="5.19"/>
    <x v="0"/>
    <x v="2"/>
    <x v="0"/>
    <x v="0"/>
    <x v="0"/>
    <m/>
  </r>
  <r>
    <s v="22781A3320"/>
    <s v="Anjali"/>
    <x v="0"/>
    <n v="83.37"/>
    <x v="1"/>
    <n v="5.21"/>
    <x v="0"/>
    <x v="2"/>
    <x v="0"/>
    <x v="0"/>
    <x v="0"/>
    <m/>
  </r>
  <r>
    <s v="21781A3324"/>
    <s v="Naveen"/>
    <x v="2"/>
    <n v="80.98"/>
    <x v="0"/>
    <n v="8.1"/>
    <x v="3"/>
    <x v="0"/>
    <x v="0"/>
    <x v="0"/>
    <x v="0"/>
    <m/>
  </r>
  <r>
    <s v="20781A3338"/>
    <s v="Priya"/>
    <x v="4"/>
    <n v="89.62"/>
    <x v="0"/>
    <n v="9.32"/>
    <x v="2"/>
    <x v="0"/>
    <x v="0"/>
    <x v="0"/>
    <x v="0"/>
    <m/>
  </r>
  <r>
    <s v="22781A3321"/>
    <s v="Akhila"/>
    <x v="1"/>
    <n v="60.9"/>
    <x v="0"/>
    <n v="5.24"/>
    <x v="0"/>
    <x v="0"/>
    <x v="0"/>
    <x v="1"/>
    <x v="0"/>
    <m/>
  </r>
  <r>
    <s v="20781A3339"/>
    <s v="Sindhu"/>
    <x v="5"/>
    <n v="76.400000000000006"/>
    <x v="0"/>
    <n v="6.75"/>
    <x v="2"/>
    <x v="0"/>
    <x v="0"/>
    <x v="0"/>
    <x v="0"/>
    <m/>
  </r>
  <r>
    <s v="20781A3340"/>
    <s v="Swathi"/>
    <x v="4"/>
    <n v="96.87"/>
    <x v="0"/>
    <n v="9.15"/>
    <x v="2"/>
    <x v="0"/>
    <x v="0"/>
    <x v="0"/>
    <x v="0"/>
    <m/>
  </r>
  <r>
    <s v="21781A3325"/>
    <s v="Keerthi"/>
    <x v="5"/>
    <n v="83.88"/>
    <x v="0"/>
    <n v="5.93"/>
    <x v="3"/>
    <x v="0"/>
    <x v="0"/>
    <x v="0"/>
    <x v="0"/>
    <m/>
  </r>
  <r>
    <s v="23781A3309"/>
    <s v="Manoj"/>
    <x v="2"/>
    <n v="94.24"/>
    <x v="0"/>
    <n v="9.1999999999999993"/>
    <x v="1"/>
    <x v="0"/>
    <x v="0"/>
    <x v="0"/>
    <x v="0"/>
    <m/>
  </r>
  <r>
    <s v="21781A3326"/>
    <s v="Saneeth"/>
    <x v="4"/>
    <n v="98.9"/>
    <x v="0"/>
    <n v="9.25"/>
    <x v="3"/>
    <x v="0"/>
    <x v="0"/>
    <x v="0"/>
    <x v="0"/>
    <m/>
  </r>
  <r>
    <s v="20781A3341"/>
    <s v="Keerthi"/>
    <x v="2"/>
    <n v="66.06"/>
    <x v="0"/>
    <n v="9.15"/>
    <x v="2"/>
    <x v="0"/>
    <x v="1"/>
    <x v="0"/>
    <x v="9"/>
    <s v="No"/>
  </r>
  <r>
    <s v="22781A3322"/>
    <s v="Lakshmi"/>
    <x v="0"/>
    <n v="64.5"/>
    <x v="0"/>
    <n v="8.67"/>
    <x v="0"/>
    <x v="0"/>
    <x v="0"/>
    <x v="1"/>
    <x v="0"/>
    <m/>
  </r>
  <r>
    <s v="23781A3310"/>
    <s v="Bhavya"/>
    <x v="1"/>
    <n v="61.43"/>
    <x v="0"/>
    <n v="6.03"/>
    <x v="1"/>
    <x v="0"/>
    <x v="0"/>
    <x v="1"/>
    <x v="0"/>
    <m/>
  </r>
  <r>
    <s v="22781A3323"/>
    <s v="Harini"/>
    <x v="4"/>
    <n v="85.25"/>
    <x v="0"/>
    <n v="9.58"/>
    <x v="0"/>
    <x v="0"/>
    <x v="0"/>
    <x v="0"/>
    <x v="0"/>
    <m/>
  </r>
  <r>
    <s v="20781A3342"/>
    <s v="Kavya"/>
    <x v="3"/>
    <n v="78.44"/>
    <x v="0"/>
    <n v="7.22"/>
    <x v="2"/>
    <x v="0"/>
    <x v="0"/>
    <x v="0"/>
    <x v="0"/>
    <m/>
  </r>
  <r>
    <s v="21781A3327"/>
    <s v="Chaitanya"/>
    <x v="2"/>
    <n v="72.39"/>
    <x v="1"/>
    <n v="6.76"/>
    <x v="3"/>
    <x v="4"/>
    <x v="1"/>
    <x v="0"/>
    <x v="8"/>
    <s v="No"/>
  </r>
  <r>
    <s v="22781A3324"/>
    <s v="Raghava"/>
    <x v="1"/>
    <n v="96.62"/>
    <x v="0"/>
    <n v="6.23"/>
    <x v="0"/>
    <x v="0"/>
    <x v="0"/>
    <x v="0"/>
    <x v="0"/>
    <m/>
  </r>
  <r>
    <s v="22781A3325"/>
    <s v="Pavan"/>
    <x v="2"/>
    <n v="98.47"/>
    <x v="0"/>
    <n v="8.4700000000000006"/>
    <x v="0"/>
    <x v="0"/>
    <x v="0"/>
    <x v="0"/>
    <x v="0"/>
    <m/>
  </r>
  <r>
    <s v="20781A3343"/>
    <s v="Deepika"/>
    <x v="3"/>
    <n v="91.07"/>
    <x v="0"/>
    <n v="5.71"/>
    <x v="2"/>
    <x v="0"/>
    <x v="0"/>
    <x v="0"/>
    <x v="0"/>
    <m/>
  </r>
  <r>
    <s v="21781A3328"/>
    <s v="Swathi"/>
    <x v="0"/>
    <n v="69.33"/>
    <x v="0"/>
    <n v="7.99"/>
    <x v="3"/>
    <x v="0"/>
    <x v="1"/>
    <x v="0"/>
    <x v="4"/>
    <s v="No"/>
  </r>
  <r>
    <s v="21781A3329"/>
    <s v="Pavan"/>
    <x v="2"/>
    <n v="79.98"/>
    <x v="0"/>
    <n v="6.47"/>
    <x v="3"/>
    <x v="0"/>
    <x v="0"/>
    <x v="0"/>
    <x v="0"/>
    <m/>
  </r>
  <r>
    <s v="20781A3344"/>
    <s v="Rohit"/>
    <x v="2"/>
    <n v="74.790000000000006"/>
    <x v="1"/>
    <n v="9.4"/>
    <x v="2"/>
    <x v="3"/>
    <x v="1"/>
    <x v="0"/>
    <x v="6"/>
    <s v="No"/>
  </r>
  <r>
    <s v="21781A3330"/>
    <s v="Raghava"/>
    <x v="1"/>
    <n v="80.17"/>
    <x v="0"/>
    <n v="7.31"/>
    <x v="3"/>
    <x v="0"/>
    <x v="0"/>
    <x v="0"/>
    <x v="0"/>
    <m/>
  </r>
  <r>
    <s v="22781A3326"/>
    <s v="Rahul"/>
    <x v="3"/>
    <n v="68.77"/>
    <x v="0"/>
    <n v="5.84"/>
    <x v="0"/>
    <x v="0"/>
    <x v="1"/>
    <x v="0"/>
    <x v="8"/>
    <s v="No"/>
  </r>
  <r>
    <s v="20781A3345"/>
    <s v="Deepika"/>
    <x v="3"/>
    <n v="80.61"/>
    <x v="0"/>
    <n v="6.62"/>
    <x v="2"/>
    <x v="0"/>
    <x v="0"/>
    <x v="0"/>
    <x v="0"/>
    <m/>
  </r>
  <r>
    <s v="23781A3311"/>
    <s v="Harini"/>
    <x v="0"/>
    <n v="67.239999999999995"/>
    <x v="1"/>
    <n v="9.3800000000000008"/>
    <x v="1"/>
    <x v="1"/>
    <x v="1"/>
    <x v="0"/>
    <x v="2"/>
    <s v="No"/>
  </r>
  <r>
    <s v="23781A3312"/>
    <s v="Srinivas"/>
    <x v="4"/>
    <n v="64.84"/>
    <x v="0"/>
    <n v="7.05"/>
    <x v="1"/>
    <x v="0"/>
    <x v="0"/>
    <x v="1"/>
    <x v="0"/>
    <m/>
  </r>
  <r>
    <s v="22781A3327"/>
    <s v="Naveen"/>
    <x v="0"/>
    <n v="99.5"/>
    <x v="0"/>
    <n v="8.23"/>
    <x v="0"/>
    <x v="0"/>
    <x v="0"/>
    <x v="0"/>
    <x v="0"/>
    <m/>
  </r>
  <r>
    <s v="20781A3346"/>
    <s v="Lokesh"/>
    <x v="2"/>
    <n v="89.78"/>
    <x v="1"/>
    <n v="5.18"/>
    <x v="2"/>
    <x v="3"/>
    <x v="0"/>
    <x v="0"/>
    <x v="0"/>
    <m/>
  </r>
  <r>
    <s v="21781A3331"/>
    <s v="Keerthi"/>
    <x v="4"/>
    <n v="67.25"/>
    <x v="0"/>
    <n v="7.04"/>
    <x v="3"/>
    <x v="0"/>
    <x v="1"/>
    <x v="0"/>
    <x v="6"/>
    <s v="No"/>
  </r>
  <r>
    <s v="20781A3347"/>
    <s v="Swathi"/>
    <x v="0"/>
    <n v="60.46"/>
    <x v="1"/>
    <n v="8.61"/>
    <x v="2"/>
    <x v="3"/>
    <x v="0"/>
    <x v="1"/>
    <x v="0"/>
    <m/>
  </r>
  <r>
    <s v="20781A3348"/>
    <s v="Praveen"/>
    <x v="0"/>
    <n v="96.84"/>
    <x v="0"/>
    <n v="7.52"/>
    <x v="2"/>
    <x v="0"/>
    <x v="0"/>
    <x v="0"/>
    <x v="0"/>
    <m/>
  </r>
  <r>
    <s v="20781A3349"/>
    <s v="Rahul"/>
    <x v="2"/>
    <n v="62.4"/>
    <x v="0"/>
    <n v="8.33"/>
    <x v="2"/>
    <x v="0"/>
    <x v="0"/>
    <x v="1"/>
    <x v="0"/>
    <m/>
  </r>
  <r>
    <s v="21781A3332"/>
    <s v="Mahesh"/>
    <x v="3"/>
    <n v="96.98"/>
    <x v="0"/>
    <n v="7.37"/>
    <x v="3"/>
    <x v="0"/>
    <x v="0"/>
    <x v="0"/>
    <x v="0"/>
    <m/>
  </r>
  <r>
    <s v="20781A3350"/>
    <s v="Keerthi"/>
    <x v="3"/>
    <n v="69.45"/>
    <x v="1"/>
    <n v="6.35"/>
    <x v="2"/>
    <x v="3"/>
    <x v="1"/>
    <x v="0"/>
    <x v="9"/>
    <s v="Yes"/>
  </r>
  <r>
    <s v="21781A3333"/>
    <s v="Tejaswini"/>
    <x v="1"/>
    <n v="75.34"/>
    <x v="0"/>
    <n v="9.59"/>
    <x v="3"/>
    <x v="0"/>
    <x v="0"/>
    <x v="0"/>
    <x v="0"/>
    <m/>
  </r>
  <r>
    <s v="21781A3334"/>
    <s v="Vamsi"/>
    <x v="1"/>
    <n v="69.819999999999993"/>
    <x v="0"/>
    <n v="8.9"/>
    <x v="3"/>
    <x v="0"/>
    <x v="1"/>
    <x v="0"/>
    <x v="7"/>
    <s v="No"/>
  </r>
  <r>
    <s v="21781A3335"/>
    <s v="Tejaswini"/>
    <x v="2"/>
    <n v="85.36"/>
    <x v="0"/>
    <n v="7.99"/>
    <x v="3"/>
    <x v="0"/>
    <x v="0"/>
    <x v="0"/>
    <x v="0"/>
    <m/>
  </r>
  <r>
    <s v="20781A3351"/>
    <s v="Deepika"/>
    <x v="1"/>
    <n v="80.92"/>
    <x v="0"/>
    <n v="5.39"/>
    <x v="2"/>
    <x v="0"/>
    <x v="0"/>
    <x v="0"/>
    <x v="0"/>
    <m/>
  </r>
  <r>
    <s v="22781A3328"/>
    <s v="Divya"/>
    <x v="5"/>
    <n v="91.82"/>
    <x v="0"/>
    <n v="7.54"/>
    <x v="0"/>
    <x v="0"/>
    <x v="0"/>
    <x v="0"/>
    <x v="0"/>
    <m/>
  </r>
  <r>
    <s v="23781A3313"/>
    <s v="Nikhil"/>
    <x v="2"/>
    <n v="99.01"/>
    <x v="0"/>
    <n v="7.87"/>
    <x v="1"/>
    <x v="0"/>
    <x v="0"/>
    <x v="0"/>
    <x v="0"/>
    <m/>
  </r>
  <r>
    <s v="20781A3352"/>
    <s v="Akhila"/>
    <x v="5"/>
    <n v="89.26"/>
    <x v="0"/>
    <n v="5.7"/>
    <x v="2"/>
    <x v="0"/>
    <x v="0"/>
    <x v="0"/>
    <x v="0"/>
    <m/>
  </r>
  <r>
    <s v="20781A3353"/>
    <s v="Sumalatha"/>
    <x v="1"/>
    <n v="86.29"/>
    <x v="0"/>
    <n v="9.06"/>
    <x v="2"/>
    <x v="0"/>
    <x v="0"/>
    <x v="0"/>
    <x v="0"/>
    <m/>
  </r>
  <r>
    <s v="22781A3329"/>
    <s v="Nikhil"/>
    <x v="3"/>
    <n v="64.819999999999993"/>
    <x v="0"/>
    <n v="5.63"/>
    <x v="0"/>
    <x v="0"/>
    <x v="0"/>
    <x v="1"/>
    <x v="0"/>
    <m/>
  </r>
  <r>
    <s v="22781A3330"/>
    <s v="Kavya"/>
    <x v="4"/>
    <n v="88.53"/>
    <x v="0"/>
    <n v="6.23"/>
    <x v="0"/>
    <x v="0"/>
    <x v="0"/>
    <x v="0"/>
    <x v="0"/>
    <m/>
  </r>
  <r>
    <s v="21781A3336"/>
    <s v="Sumalatha"/>
    <x v="5"/>
    <n v="60.05"/>
    <x v="0"/>
    <n v="5.37"/>
    <x v="3"/>
    <x v="0"/>
    <x v="0"/>
    <x v="1"/>
    <x v="0"/>
    <m/>
  </r>
  <r>
    <s v="23781A3314"/>
    <s v="Sumalatha"/>
    <x v="3"/>
    <n v="92.46"/>
    <x v="0"/>
    <n v="9.64"/>
    <x v="1"/>
    <x v="0"/>
    <x v="0"/>
    <x v="0"/>
    <x v="0"/>
    <m/>
  </r>
  <r>
    <s v="20781A3354"/>
    <s v="Raghava"/>
    <x v="2"/>
    <n v="72.459999999999994"/>
    <x v="0"/>
    <n v="8.24"/>
    <x v="2"/>
    <x v="0"/>
    <x v="1"/>
    <x v="0"/>
    <x v="8"/>
    <s v="No"/>
  </r>
  <r>
    <s v="21781A3337"/>
    <s v="Srinivas"/>
    <x v="0"/>
    <n v="86.54"/>
    <x v="0"/>
    <n v="8.25"/>
    <x v="3"/>
    <x v="0"/>
    <x v="0"/>
    <x v="0"/>
    <x v="0"/>
    <m/>
  </r>
  <r>
    <s v="20781A3355"/>
    <s v="Mahesh"/>
    <x v="4"/>
    <n v="87.4"/>
    <x v="0"/>
    <n v="6.47"/>
    <x v="2"/>
    <x v="0"/>
    <x v="0"/>
    <x v="0"/>
    <x v="0"/>
    <m/>
  </r>
  <r>
    <s v="20781A3356"/>
    <s v="Naveen"/>
    <x v="4"/>
    <n v="99.65"/>
    <x v="1"/>
    <n v="6.5"/>
    <x v="2"/>
    <x v="3"/>
    <x v="0"/>
    <x v="0"/>
    <x v="0"/>
    <m/>
  </r>
  <r>
    <s v="21781A3338"/>
    <s v="Mahesh"/>
    <x v="1"/>
    <n v="84.44"/>
    <x v="0"/>
    <n v="7.17"/>
    <x v="3"/>
    <x v="0"/>
    <x v="0"/>
    <x v="0"/>
    <x v="0"/>
    <m/>
  </r>
  <r>
    <s v="23781A3315"/>
    <s v="Manoj"/>
    <x v="1"/>
    <n v="80.02"/>
    <x v="0"/>
    <n v="9.16"/>
    <x v="1"/>
    <x v="0"/>
    <x v="0"/>
    <x v="0"/>
    <x v="0"/>
    <m/>
  </r>
  <r>
    <s v="23781A3316"/>
    <s v="Divya"/>
    <x v="5"/>
    <n v="98.34"/>
    <x v="1"/>
    <n v="5.56"/>
    <x v="1"/>
    <x v="1"/>
    <x v="0"/>
    <x v="0"/>
    <x v="0"/>
    <m/>
  </r>
  <r>
    <s v="22781A3331"/>
    <s v="Rahul"/>
    <x v="3"/>
    <n v="91.51"/>
    <x v="0"/>
    <n v="8.6"/>
    <x v="0"/>
    <x v="0"/>
    <x v="0"/>
    <x v="0"/>
    <x v="0"/>
    <m/>
  </r>
  <r>
    <s v="20781A3357"/>
    <s v="Nikhil"/>
    <x v="3"/>
    <n v="77.58"/>
    <x v="0"/>
    <n v="6.41"/>
    <x v="2"/>
    <x v="0"/>
    <x v="0"/>
    <x v="0"/>
    <x v="0"/>
    <m/>
  </r>
  <r>
    <s v="22781A3332"/>
    <s v="Vamsi"/>
    <x v="3"/>
    <n v="97.7"/>
    <x v="0"/>
    <n v="8.6300000000000008"/>
    <x v="0"/>
    <x v="0"/>
    <x v="0"/>
    <x v="0"/>
    <x v="0"/>
    <m/>
  </r>
  <r>
    <s v="20781A3358"/>
    <s v="Rahul"/>
    <x v="5"/>
    <n v="80.33"/>
    <x v="0"/>
    <n v="6.26"/>
    <x v="2"/>
    <x v="0"/>
    <x v="0"/>
    <x v="0"/>
    <x v="0"/>
    <m/>
  </r>
  <r>
    <s v="21781A3339"/>
    <s v="Rohit"/>
    <x v="0"/>
    <n v="88.95"/>
    <x v="0"/>
    <n v="7.04"/>
    <x v="3"/>
    <x v="0"/>
    <x v="0"/>
    <x v="0"/>
    <x v="0"/>
    <m/>
  </r>
  <r>
    <s v="21781A3340"/>
    <s v="Mahesh"/>
    <x v="0"/>
    <n v="63.63"/>
    <x v="0"/>
    <n v="7.19"/>
    <x v="3"/>
    <x v="0"/>
    <x v="0"/>
    <x v="1"/>
    <x v="0"/>
    <m/>
  </r>
  <r>
    <s v="23781A3317"/>
    <s v="Swathi"/>
    <x v="2"/>
    <n v="64.16"/>
    <x v="0"/>
    <n v="6.91"/>
    <x v="1"/>
    <x v="0"/>
    <x v="0"/>
    <x v="1"/>
    <x v="0"/>
    <m/>
  </r>
  <r>
    <s v="23781A3318"/>
    <s v="Bhavya"/>
    <x v="2"/>
    <n v="66.790000000000006"/>
    <x v="0"/>
    <n v="8.5299999999999994"/>
    <x v="1"/>
    <x v="0"/>
    <x v="1"/>
    <x v="0"/>
    <x v="6"/>
    <s v="No"/>
  </r>
  <r>
    <s v="22781A3333"/>
    <s v="Lakshmi"/>
    <x v="3"/>
    <n v="72.930000000000007"/>
    <x v="0"/>
    <n v="5.65"/>
    <x v="0"/>
    <x v="0"/>
    <x v="1"/>
    <x v="0"/>
    <x v="5"/>
    <s v="No"/>
  </r>
  <r>
    <s v="21781A3341"/>
    <s v="Chaitanya"/>
    <x v="0"/>
    <n v="79.739999999999995"/>
    <x v="0"/>
    <n v="7.43"/>
    <x v="3"/>
    <x v="0"/>
    <x v="0"/>
    <x v="0"/>
    <x v="0"/>
    <m/>
  </r>
  <r>
    <s v="23781A3319"/>
    <s v="Pavan"/>
    <x v="2"/>
    <n v="84.75"/>
    <x v="0"/>
    <n v="8.18"/>
    <x v="1"/>
    <x v="0"/>
    <x v="0"/>
    <x v="0"/>
    <x v="0"/>
    <m/>
  </r>
  <r>
    <s v="22781A3334"/>
    <s v="Sindhu"/>
    <x v="2"/>
    <n v="87.76"/>
    <x v="0"/>
    <n v="9.1999999999999993"/>
    <x v="0"/>
    <x v="0"/>
    <x v="0"/>
    <x v="0"/>
    <x v="0"/>
    <m/>
  </r>
  <r>
    <s v="22781A3335"/>
    <s v="Anjali"/>
    <x v="1"/>
    <n v="60.19"/>
    <x v="1"/>
    <n v="7.02"/>
    <x v="0"/>
    <x v="2"/>
    <x v="0"/>
    <x v="1"/>
    <x v="0"/>
    <m/>
  </r>
  <r>
    <s v="21781A3342"/>
    <s v="Srinivas"/>
    <x v="4"/>
    <n v="87.52"/>
    <x v="0"/>
    <n v="8.39"/>
    <x v="3"/>
    <x v="0"/>
    <x v="0"/>
    <x v="0"/>
    <x v="0"/>
    <m/>
  </r>
  <r>
    <s v="21781A3343"/>
    <s v="Vamsi"/>
    <x v="2"/>
    <n v="91.32"/>
    <x v="0"/>
    <n v="8.73"/>
    <x v="3"/>
    <x v="0"/>
    <x v="0"/>
    <x v="0"/>
    <x v="0"/>
    <m/>
  </r>
  <r>
    <s v="21781A3344"/>
    <s v="Rahul"/>
    <x v="0"/>
    <n v="79.25"/>
    <x v="0"/>
    <n v="5.89"/>
    <x v="3"/>
    <x v="0"/>
    <x v="0"/>
    <x v="0"/>
    <x v="0"/>
    <m/>
  </r>
  <r>
    <s v="21781A3345"/>
    <s v="Sumalatha"/>
    <x v="3"/>
    <n v="70.650000000000006"/>
    <x v="0"/>
    <n v="7.98"/>
    <x v="3"/>
    <x v="0"/>
    <x v="1"/>
    <x v="0"/>
    <x v="5"/>
    <s v="No"/>
  </r>
  <r>
    <s v="23781A3320"/>
    <s v="Sumalatha"/>
    <x v="5"/>
    <n v="83.42"/>
    <x v="0"/>
    <n v="5.43"/>
    <x v="1"/>
    <x v="0"/>
    <x v="0"/>
    <x v="0"/>
    <x v="0"/>
    <m/>
  </r>
  <r>
    <s v="20781A3359"/>
    <s v="Raghava"/>
    <x v="4"/>
    <n v="72.12"/>
    <x v="0"/>
    <n v="7.88"/>
    <x v="2"/>
    <x v="0"/>
    <x v="1"/>
    <x v="0"/>
    <x v="1"/>
    <s v="No"/>
  </r>
  <r>
    <s v="22781A3336"/>
    <s v="Swathi"/>
    <x v="2"/>
    <n v="65.92"/>
    <x v="0"/>
    <n v="5.21"/>
    <x v="0"/>
    <x v="0"/>
    <x v="1"/>
    <x v="0"/>
    <x v="2"/>
    <s v="No"/>
  </r>
  <r>
    <s v="22781A3337"/>
    <s v="Rohit"/>
    <x v="3"/>
    <n v="84.25"/>
    <x v="0"/>
    <n v="6.33"/>
    <x v="0"/>
    <x v="0"/>
    <x v="0"/>
    <x v="0"/>
    <x v="0"/>
    <m/>
  </r>
  <r>
    <s v="20781A3360"/>
    <s v="Pavan"/>
    <x v="4"/>
    <n v="85.61"/>
    <x v="0"/>
    <n v="9.43"/>
    <x v="2"/>
    <x v="0"/>
    <x v="0"/>
    <x v="0"/>
    <x v="0"/>
    <m/>
  </r>
  <r>
    <s v="21781A3346"/>
    <s v="Divya"/>
    <x v="4"/>
    <n v="96.08"/>
    <x v="0"/>
    <n v="7.77"/>
    <x v="3"/>
    <x v="0"/>
    <x v="0"/>
    <x v="0"/>
    <x v="0"/>
    <m/>
  </r>
  <r>
    <s v="23781A3321"/>
    <s v="Sindhu"/>
    <x v="1"/>
    <n v="87.74"/>
    <x v="0"/>
    <n v="7.51"/>
    <x v="1"/>
    <x v="0"/>
    <x v="0"/>
    <x v="0"/>
    <x v="0"/>
    <m/>
  </r>
  <r>
    <s v="20781A3361"/>
    <s v="Swathi"/>
    <x v="0"/>
    <n v="76.3"/>
    <x v="0"/>
    <n v="9.36"/>
    <x v="2"/>
    <x v="0"/>
    <x v="0"/>
    <x v="0"/>
    <x v="0"/>
    <m/>
  </r>
  <r>
    <s v="22781A3338"/>
    <s v="Bhavya"/>
    <x v="2"/>
    <n v="78.88"/>
    <x v="1"/>
    <n v="9.3699999999999992"/>
    <x v="0"/>
    <x v="2"/>
    <x v="0"/>
    <x v="0"/>
    <x v="0"/>
    <m/>
  </r>
  <r>
    <s v="20781A3362"/>
    <s v="Akhila"/>
    <x v="1"/>
    <n v="77.319999999999993"/>
    <x v="0"/>
    <n v="5.94"/>
    <x v="2"/>
    <x v="0"/>
    <x v="0"/>
    <x v="0"/>
    <x v="0"/>
    <m/>
  </r>
  <r>
    <s v="23781A3322"/>
    <s v="Suresh"/>
    <x v="4"/>
    <n v="92.99"/>
    <x v="0"/>
    <n v="5.3"/>
    <x v="1"/>
    <x v="0"/>
    <x v="0"/>
    <x v="0"/>
    <x v="0"/>
    <m/>
  </r>
  <r>
    <s v="21781A3347"/>
    <s v="Suresh"/>
    <x v="4"/>
    <n v="99.76"/>
    <x v="0"/>
    <n v="7.52"/>
    <x v="3"/>
    <x v="0"/>
    <x v="0"/>
    <x v="0"/>
    <x v="0"/>
    <m/>
  </r>
  <r>
    <s v="20781A3363"/>
    <s v="Deepika"/>
    <x v="0"/>
    <n v="68.13"/>
    <x v="0"/>
    <n v="9.4499999999999993"/>
    <x v="2"/>
    <x v="0"/>
    <x v="1"/>
    <x v="0"/>
    <x v="4"/>
    <s v="No"/>
  </r>
  <r>
    <s v="23781A3323"/>
    <s v="Keerthi"/>
    <x v="3"/>
    <n v="87.83"/>
    <x v="0"/>
    <n v="5.23"/>
    <x v="1"/>
    <x v="0"/>
    <x v="0"/>
    <x v="0"/>
    <x v="0"/>
    <m/>
  </r>
  <r>
    <s v="21781A3348"/>
    <s v="Vamsi"/>
    <x v="0"/>
    <n v="96.81"/>
    <x v="0"/>
    <n v="8.67"/>
    <x v="3"/>
    <x v="0"/>
    <x v="0"/>
    <x v="0"/>
    <x v="0"/>
    <m/>
  </r>
  <r>
    <s v="21781A3349"/>
    <s v="Chaitanya"/>
    <x v="0"/>
    <n v="86.14"/>
    <x v="0"/>
    <n v="9.36"/>
    <x v="3"/>
    <x v="0"/>
    <x v="0"/>
    <x v="0"/>
    <x v="0"/>
    <m/>
  </r>
  <r>
    <s v="22781A3339"/>
    <s v="Harini"/>
    <x v="3"/>
    <n v="60.08"/>
    <x v="0"/>
    <n v="5.13"/>
    <x v="0"/>
    <x v="0"/>
    <x v="0"/>
    <x v="1"/>
    <x v="0"/>
    <m/>
  </r>
  <r>
    <s v="20781A3364"/>
    <s v="Deepika"/>
    <x v="3"/>
    <n v="86.44"/>
    <x v="0"/>
    <n v="8.76"/>
    <x v="2"/>
    <x v="0"/>
    <x v="0"/>
    <x v="0"/>
    <x v="0"/>
    <m/>
  </r>
  <r>
    <s v="23781A3324"/>
    <s v="Mahesh"/>
    <x v="0"/>
    <n v="88.4"/>
    <x v="0"/>
    <n v="7.8"/>
    <x v="1"/>
    <x v="0"/>
    <x v="0"/>
    <x v="0"/>
    <x v="0"/>
    <m/>
  </r>
  <r>
    <s v="23781A3325"/>
    <s v="Rahul"/>
    <x v="2"/>
    <n v="99.9"/>
    <x v="0"/>
    <n v="7.24"/>
    <x v="1"/>
    <x v="0"/>
    <x v="0"/>
    <x v="0"/>
    <x v="0"/>
    <m/>
  </r>
  <r>
    <s v="20781A3365"/>
    <s v="Sumalatha"/>
    <x v="0"/>
    <n v="61.18"/>
    <x v="0"/>
    <n v="5.71"/>
    <x v="2"/>
    <x v="0"/>
    <x v="0"/>
    <x v="1"/>
    <x v="0"/>
    <m/>
  </r>
  <r>
    <s v="21781A3350"/>
    <s v="Praveen"/>
    <x v="2"/>
    <n v="67.11"/>
    <x v="1"/>
    <n v="9.31"/>
    <x v="3"/>
    <x v="4"/>
    <x v="1"/>
    <x v="0"/>
    <x v="7"/>
    <s v="No"/>
  </r>
  <r>
    <s v="21781A3351"/>
    <s v="Deepika"/>
    <x v="3"/>
    <n v="79.63"/>
    <x v="0"/>
    <n v="6.18"/>
    <x v="3"/>
    <x v="0"/>
    <x v="0"/>
    <x v="0"/>
    <x v="0"/>
    <m/>
  </r>
  <r>
    <s v="22781A3340"/>
    <s v="Sumalatha"/>
    <x v="3"/>
    <n v="92.26"/>
    <x v="0"/>
    <n v="7.16"/>
    <x v="0"/>
    <x v="0"/>
    <x v="0"/>
    <x v="0"/>
    <x v="0"/>
    <m/>
  </r>
  <r>
    <s v="20781A3366"/>
    <s v="Sumalatha"/>
    <x v="5"/>
    <n v="69.63"/>
    <x v="1"/>
    <n v="7.6"/>
    <x v="2"/>
    <x v="3"/>
    <x v="1"/>
    <x v="0"/>
    <x v="8"/>
    <s v="No"/>
  </r>
  <r>
    <s v="20781A3367"/>
    <s v="Raghava"/>
    <x v="4"/>
    <n v="76.97"/>
    <x v="0"/>
    <n v="6.85"/>
    <x v="2"/>
    <x v="0"/>
    <x v="0"/>
    <x v="0"/>
    <x v="0"/>
    <m/>
  </r>
  <r>
    <s v="21781A3352"/>
    <s v="Naveen"/>
    <x v="3"/>
    <n v="82.44"/>
    <x v="0"/>
    <n v="6.38"/>
    <x v="3"/>
    <x v="0"/>
    <x v="0"/>
    <x v="0"/>
    <x v="0"/>
    <m/>
  </r>
  <r>
    <s v="22781A3341"/>
    <s v="Srinivas"/>
    <x v="2"/>
    <n v="94.45"/>
    <x v="0"/>
    <n v="9.59"/>
    <x v="0"/>
    <x v="0"/>
    <x v="0"/>
    <x v="0"/>
    <x v="0"/>
    <m/>
  </r>
  <r>
    <s v="20781A3368"/>
    <s v="Tejaswini"/>
    <x v="5"/>
    <n v="64.180000000000007"/>
    <x v="0"/>
    <n v="6.97"/>
    <x v="2"/>
    <x v="0"/>
    <x v="0"/>
    <x v="1"/>
    <x v="0"/>
    <m/>
  </r>
  <r>
    <s v="20781A3369"/>
    <s v="Mahesh"/>
    <x v="5"/>
    <n v="76.3"/>
    <x v="0"/>
    <n v="9.57"/>
    <x v="2"/>
    <x v="0"/>
    <x v="0"/>
    <x v="0"/>
    <x v="0"/>
    <m/>
  </r>
  <r>
    <s v="22781A3342"/>
    <s v="Suresh"/>
    <x v="2"/>
    <n v="77.05"/>
    <x v="0"/>
    <n v="6.4"/>
    <x v="0"/>
    <x v="0"/>
    <x v="0"/>
    <x v="0"/>
    <x v="0"/>
    <m/>
  </r>
  <r>
    <s v="21781A3353"/>
    <s v="Pavan"/>
    <x v="3"/>
    <n v="62.43"/>
    <x v="0"/>
    <n v="5.08"/>
    <x v="3"/>
    <x v="0"/>
    <x v="0"/>
    <x v="1"/>
    <x v="0"/>
    <m/>
  </r>
  <r>
    <s v="22781A3343"/>
    <s v="Raghava"/>
    <x v="4"/>
    <n v="99.66"/>
    <x v="0"/>
    <n v="5.0199999999999996"/>
    <x v="0"/>
    <x v="0"/>
    <x v="0"/>
    <x v="0"/>
    <x v="0"/>
    <m/>
  </r>
  <r>
    <s v="22781A3344"/>
    <s v="Chaitanya"/>
    <x v="0"/>
    <n v="70.33"/>
    <x v="1"/>
    <n v="5.66"/>
    <x v="0"/>
    <x v="2"/>
    <x v="1"/>
    <x v="0"/>
    <x v="1"/>
    <s v="No"/>
  </r>
  <r>
    <s v="22781A3345"/>
    <s v="Rohit"/>
    <x v="1"/>
    <n v="92.92"/>
    <x v="0"/>
    <n v="5.25"/>
    <x v="0"/>
    <x v="0"/>
    <x v="0"/>
    <x v="0"/>
    <x v="0"/>
    <m/>
  </r>
  <r>
    <s v="23781A3326"/>
    <s v="Lakshmi"/>
    <x v="3"/>
    <n v="81.31"/>
    <x v="0"/>
    <n v="6.02"/>
    <x v="1"/>
    <x v="0"/>
    <x v="0"/>
    <x v="0"/>
    <x v="0"/>
    <m/>
  </r>
  <r>
    <s v="23781A3327"/>
    <s v="Srinivas"/>
    <x v="4"/>
    <n v="83.71"/>
    <x v="0"/>
    <n v="8.91"/>
    <x v="1"/>
    <x v="0"/>
    <x v="0"/>
    <x v="0"/>
    <x v="0"/>
    <m/>
  </r>
  <r>
    <s v="20781A3370"/>
    <s v="Harini"/>
    <x v="2"/>
    <n v="94.98"/>
    <x v="0"/>
    <n v="8.1"/>
    <x v="2"/>
    <x v="0"/>
    <x v="0"/>
    <x v="0"/>
    <x v="0"/>
    <m/>
  </r>
  <r>
    <s v="23781A3328"/>
    <s v="Srinivas"/>
    <x v="3"/>
    <n v="65.64"/>
    <x v="0"/>
    <n v="5.94"/>
    <x v="1"/>
    <x v="0"/>
    <x v="1"/>
    <x v="0"/>
    <x v="6"/>
    <s v="No"/>
  </r>
  <r>
    <s v="21781A3354"/>
    <s v="Suresh"/>
    <x v="0"/>
    <n v="69.16"/>
    <x v="1"/>
    <n v="6.35"/>
    <x v="3"/>
    <x v="4"/>
    <x v="1"/>
    <x v="0"/>
    <x v="5"/>
    <s v="Yes"/>
  </r>
  <r>
    <s v="22781A3346"/>
    <s v="Akhila"/>
    <x v="4"/>
    <n v="75.52"/>
    <x v="0"/>
    <n v="9.6300000000000008"/>
    <x v="0"/>
    <x v="0"/>
    <x v="0"/>
    <x v="0"/>
    <x v="0"/>
    <m/>
  </r>
  <r>
    <s v="21781A3355"/>
    <s v="Suresh"/>
    <x v="5"/>
    <n v="78.27"/>
    <x v="0"/>
    <n v="7.65"/>
    <x v="3"/>
    <x v="0"/>
    <x v="0"/>
    <x v="0"/>
    <x v="0"/>
    <m/>
  </r>
  <r>
    <s v="23781A3329"/>
    <s v="Rohit"/>
    <x v="3"/>
    <n v="68.59"/>
    <x v="0"/>
    <n v="9.58"/>
    <x v="1"/>
    <x v="0"/>
    <x v="1"/>
    <x v="0"/>
    <x v="2"/>
    <s v="No"/>
  </r>
  <r>
    <s v="20781A3371"/>
    <s v="Sindhu"/>
    <x v="3"/>
    <n v="73.62"/>
    <x v="1"/>
    <n v="5.56"/>
    <x v="2"/>
    <x v="3"/>
    <x v="1"/>
    <x v="0"/>
    <x v="9"/>
    <s v="No"/>
  </r>
  <r>
    <s v="21781A3356"/>
    <s v="Nikhil"/>
    <x v="2"/>
    <n v="83.22"/>
    <x v="0"/>
    <n v="7.28"/>
    <x v="3"/>
    <x v="0"/>
    <x v="0"/>
    <x v="0"/>
    <x v="0"/>
    <m/>
  </r>
  <r>
    <s v="20781A3372"/>
    <s v="Divya"/>
    <x v="2"/>
    <n v="87.87"/>
    <x v="0"/>
    <n v="9.4700000000000006"/>
    <x v="2"/>
    <x v="0"/>
    <x v="0"/>
    <x v="0"/>
    <x v="0"/>
    <m/>
  </r>
  <r>
    <s v="22781A3347"/>
    <s v="Srinivas"/>
    <x v="1"/>
    <n v="62.42"/>
    <x v="0"/>
    <n v="8.52"/>
    <x v="0"/>
    <x v="0"/>
    <x v="0"/>
    <x v="1"/>
    <x v="0"/>
    <m/>
  </r>
  <r>
    <s v="23781A3330"/>
    <s v="Manoj"/>
    <x v="2"/>
    <n v="69.3"/>
    <x v="0"/>
    <n v="6.15"/>
    <x v="1"/>
    <x v="0"/>
    <x v="1"/>
    <x v="0"/>
    <x v="5"/>
    <s v="Yes"/>
  </r>
  <r>
    <s v="23781A3331"/>
    <s v="Bhavya"/>
    <x v="3"/>
    <n v="79.05"/>
    <x v="0"/>
    <n v="9.51"/>
    <x v="1"/>
    <x v="0"/>
    <x v="0"/>
    <x v="0"/>
    <x v="0"/>
    <m/>
  </r>
  <r>
    <s v="23781A3332"/>
    <s v="Akhila"/>
    <x v="1"/>
    <n v="70.28"/>
    <x v="0"/>
    <n v="8.58"/>
    <x v="1"/>
    <x v="0"/>
    <x v="1"/>
    <x v="0"/>
    <x v="1"/>
    <s v="No"/>
  </r>
  <r>
    <s v="22781A3348"/>
    <s v="Kavya"/>
    <x v="0"/>
    <n v="68.84"/>
    <x v="0"/>
    <n v="5.94"/>
    <x v="0"/>
    <x v="0"/>
    <x v="1"/>
    <x v="0"/>
    <x v="2"/>
    <s v="No"/>
  </r>
  <r>
    <s v="22781A3349"/>
    <s v="Keerthi"/>
    <x v="4"/>
    <n v="90.62"/>
    <x v="1"/>
    <n v="5.61"/>
    <x v="0"/>
    <x v="2"/>
    <x v="0"/>
    <x v="0"/>
    <x v="0"/>
    <m/>
  </r>
  <r>
    <s v="22781A3350"/>
    <s v="Anjali"/>
    <x v="2"/>
    <n v="84.87"/>
    <x v="0"/>
    <n v="5.83"/>
    <x v="0"/>
    <x v="0"/>
    <x v="0"/>
    <x v="0"/>
    <x v="0"/>
    <m/>
  </r>
  <r>
    <s v="20781A3373"/>
    <s v="Naveen"/>
    <x v="0"/>
    <n v="81.7"/>
    <x v="0"/>
    <n v="5.59"/>
    <x v="2"/>
    <x v="0"/>
    <x v="0"/>
    <x v="0"/>
    <x v="0"/>
    <m/>
  </r>
  <r>
    <s v="21781A3357"/>
    <s v="Deepika"/>
    <x v="2"/>
    <n v="64.3"/>
    <x v="0"/>
    <n v="7.67"/>
    <x v="3"/>
    <x v="0"/>
    <x v="0"/>
    <x v="1"/>
    <x v="0"/>
    <m/>
  </r>
  <r>
    <s v="22781A3351"/>
    <s v="Kiran"/>
    <x v="1"/>
    <n v="99.41"/>
    <x v="1"/>
    <n v="5.48"/>
    <x v="0"/>
    <x v="2"/>
    <x v="0"/>
    <x v="0"/>
    <x v="0"/>
    <m/>
  </r>
  <r>
    <s v="21781A3358"/>
    <s v="Sindhu"/>
    <x v="3"/>
    <n v="77.92"/>
    <x v="0"/>
    <n v="8.34"/>
    <x v="3"/>
    <x v="0"/>
    <x v="0"/>
    <x v="0"/>
    <x v="0"/>
    <m/>
  </r>
  <r>
    <s v="21781A3359"/>
    <s v="Raghava"/>
    <x v="3"/>
    <n v="68.48"/>
    <x v="0"/>
    <n v="6.06"/>
    <x v="3"/>
    <x v="0"/>
    <x v="1"/>
    <x v="0"/>
    <x v="1"/>
    <s v="No"/>
  </r>
  <r>
    <s v="21781A3360"/>
    <s v="Kiran"/>
    <x v="2"/>
    <n v="76.98"/>
    <x v="0"/>
    <n v="6.39"/>
    <x v="3"/>
    <x v="0"/>
    <x v="0"/>
    <x v="0"/>
    <x v="0"/>
    <m/>
  </r>
  <r>
    <s v="23781A3333"/>
    <s v="Naveen"/>
    <x v="4"/>
    <n v="93.43"/>
    <x v="0"/>
    <n v="7.58"/>
    <x v="1"/>
    <x v="0"/>
    <x v="0"/>
    <x v="0"/>
    <x v="0"/>
    <m/>
  </r>
  <r>
    <s v="21781A3361"/>
    <s v="Lakshmi"/>
    <x v="0"/>
    <n v="80.69"/>
    <x v="0"/>
    <n v="9"/>
    <x v="3"/>
    <x v="0"/>
    <x v="0"/>
    <x v="0"/>
    <x v="0"/>
    <m/>
  </r>
  <r>
    <s v="21781A3362"/>
    <s v="Saneeth"/>
    <x v="4"/>
    <n v="91.54"/>
    <x v="0"/>
    <n v="8.84"/>
    <x v="3"/>
    <x v="0"/>
    <x v="0"/>
    <x v="0"/>
    <x v="0"/>
    <m/>
  </r>
  <r>
    <s v="23781A3334"/>
    <s v="Praveen"/>
    <x v="2"/>
    <n v="99.54"/>
    <x v="0"/>
    <n v="7.79"/>
    <x v="1"/>
    <x v="0"/>
    <x v="0"/>
    <x v="0"/>
    <x v="0"/>
    <m/>
  </r>
  <r>
    <s v="21781A3363"/>
    <s v="Lakshmi"/>
    <x v="2"/>
    <n v="62.8"/>
    <x v="0"/>
    <n v="6.05"/>
    <x v="3"/>
    <x v="0"/>
    <x v="0"/>
    <x v="1"/>
    <x v="0"/>
    <m/>
  </r>
  <r>
    <s v="21781A3364"/>
    <s v="Rahul"/>
    <x v="1"/>
    <n v="60.29"/>
    <x v="0"/>
    <n v="6.88"/>
    <x v="3"/>
    <x v="0"/>
    <x v="0"/>
    <x v="1"/>
    <x v="0"/>
    <m/>
  </r>
  <r>
    <s v="22781A3352"/>
    <s v="Harini"/>
    <x v="3"/>
    <n v="74.41"/>
    <x v="0"/>
    <n v="9.66"/>
    <x v="0"/>
    <x v="0"/>
    <x v="1"/>
    <x v="0"/>
    <x v="1"/>
    <s v="No"/>
  </r>
  <r>
    <s v="20781A3374"/>
    <s v="Kiran"/>
    <x v="3"/>
    <n v="94.95"/>
    <x v="1"/>
    <n v="8.43"/>
    <x v="2"/>
    <x v="3"/>
    <x v="0"/>
    <x v="0"/>
    <x v="0"/>
    <m/>
  </r>
  <r>
    <s v="22781A3353"/>
    <s v="Chaitanya"/>
    <x v="3"/>
    <n v="63.1"/>
    <x v="0"/>
    <n v="5.66"/>
    <x v="0"/>
    <x v="0"/>
    <x v="0"/>
    <x v="1"/>
    <x v="0"/>
    <m/>
  </r>
  <r>
    <s v="20781A3375"/>
    <s v="Mahesh"/>
    <x v="2"/>
    <n v="73.8"/>
    <x v="0"/>
    <n v="5.07"/>
    <x v="2"/>
    <x v="0"/>
    <x v="1"/>
    <x v="0"/>
    <x v="4"/>
    <s v="No"/>
  </r>
  <r>
    <s v="20781A3376"/>
    <s v="Bhavya"/>
    <x v="5"/>
    <n v="71.099999999999994"/>
    <x v="0"/>
    <n v="7.71"/>
    <x v="2"/>
    <x v="0"/>
    <x v="1"/>
    <x v="0"/>
    <x v="7"/>
    <s v="No"/>
  </r>
  <r>
    <s v="20781A3377"/>
    <s v="Suresh"/>
    <x v="5"/>
    <n v="65.13"/>
    <x v="0"/>
    <n v="9.14"/>
    <x v="2"/>
    <x v="0"/>
    <x v="1"/>
    <x v="0"/>
    <x v="6"/>
    <s v="No"/>
  </r>
  <r>
    <s v="21781A3365"/>
    <s v="Priya"/>
    <x v="2"/>
    <n v="80.23"/>
    <x v="0"/>
    <n v="5.35"/>
    <x v="3"/>
    <x v="0"/>
    <x v="0"/>
    <x v="0"/>
    <x v="0"/>
    <m/>
  </r>
  <r>
    <s v="23781A3335"/>
    <s v="Lakshmi"/>
    <x v="0"/>
    <n v="92.1"/>
    <x v="1"/>
    <n v="8.74"/>
    <x v="1"/>
    <x v="1"/>
    <x v="0"/>
    <x v="0"/>
    <x v="0"/>
    <m/>
  </r>
  <r>
    <s v="21781A3366"/>
    <s v="Saneeth"/>
    <x v="1"/>
    <n v="82.6"/>
    <x v="1"/>
    <n v="9.33"/>
    <x v="3"/>
    <x v="4"/>
    <x v="0"/>
    <x v="0"/>
    <x v="0"/>
    <m/>
  </r>
  <r>
    <s v="22781A3354"/>
    <s v="Pavan"/>
    <x v="3"/>
    <n v="80.540000000000006"/>
    <x v="0"/>
    <n v="5.69"/>
    <x v="0"/>
    <x v="0"/>
    <x v="0"/>
    <x v="0"/>
    <x v="0"/>
    <m/>
  </r>
  <r>
    <s v="21781A3367"/>
    <s v="Bhavya"/>
    <x v="0"/>
    <n v="91.99"/>
    <x v="1"/>
    <n v="8.06"/>
    <x v="3"/>
    <x v="4"/>
    <x v="0"/>
    <x v="0"/>
    <x v="0"/>
    <m/>
  </r>
  <r>
    <s v="20781A3378"/>
    <s v="Kavya"/>
    <x v="5"/>
    <n v="60.96"/>
    <x v="0"/>
    <n v="6.77"/>
    <x v="2"/>
    <x v="0"/>
    <x v="0"/>
    <x v="1"/>
    <x v="0"/>
    <m/>
  </r>
  <r>
    <s v="21781A3368"/>
    <s v="Manoj"/>
    <x v="5"/>
    <n v="62.92"/>
    <x v="0"/>
    <n v="6.15"/>
    <x v="3"/>
    <x v="0"/>
    <x v="0"/>
    <x v="1"/>
    <x v="0"/>
    <m/>
  </r>
  <r>
    <s v="20781A3379"/>
    <s v="Keerthi"/>
    <x v="0"/>
    <n v="73.08"/>
    <x v="0"/>
    <n v="9.19"/>
    <x v="2"/>
    <x v="0"/>
    <x v="1"/>
    <x v="0"/>
    <x v="6"/>
    <s v="No"/>
  </r>
  <r>
    <s v="23781A3336"/>
    <s v="Mahesh"/>
    <x v="0"/>
    <n v="68.790000000000006"/>
    <x v="0"/>
    <n v="5.64"/>
    <x v="1"/>
    <x v="0"/>
    <x v="1"/>
    <x v="0"/>
    <x v="5"/>
    <s v="No"/>
  </r>
  <r>
    <s v="22781A3355"/>
    <s v="Sumalatha"/>
    <x v="3"/>
    <n v="68.209999999999994"/>
    <x v="0"/>
    <n v="7.88"/>
    <x v="0"/>
    <x v="0"/>
    <x v="1"/>
    <x v="0"/>
    <x v="8"/>
    <s v="Yes"/>
  </r>
  <r>
    <s v="20781A3380"/>
    <s v="Rohit"/>
    <x v="3"/>
    <n v="93.09"/>
    <x v="0"/>
    <n v="6.78"/>
    <x v="2"/>
    <x v="0"/>
    <x v="0"/>
    <x v="0"/>
    <x v="0"/>
    <m/>
  </r>
  <r>
    <s v="23781A3337"/>
    <s v="Rahul"/>
    <x v="2"/>
    <n v="76.94"/>
    <x v="0"/>
    <n v="7.03"/>
    <x v="1"/>
    <x v="0"/>
    <x v="0"/>
    <x v="0"/>
    <x v="0"/>
    <m/>
  </r>
  <r>
    <s v="22781A3356"/>
    <s v="Keerthi"/>
    <x v="2"/>
    <n v="69.930000000000007"/>
    <x v="0"/>
    <n v="6.06"/>
    <x v="0"/>
    <x v="0"/>
    <x v="1"/>
    <x v="0"/>
    <x v="9"/>
    <s v="No"/>
  </r>
  <r>
    <s v="20781A3381"/>
    <s v="Rahul"/>
    <x v="5"/>
    <n v="74.36"/>
    <x v="0"/>
    <n v="7.74"/>
    <x v="2"/>
    <x v="0"/>
    <x v="1"/>
    <x v="0"/>
    <x v="4"/>
    <s v="No"/>
  </r>
  <r>
    <s v="20781A3382"/>
    <s v="Pavan"/>
    <x v="3"/>
    <n v="62.81"/>
    <x v="0"/>
    <n v="7.96"/>
    <x v="2"/>
    <x v="0"/>
    <x v="0"/>
    <x v="1"/>
    <x v="0"/>
    <m/>
  </r>
  <r>
    <s v="20781A3383"/>
    <s v="Harini"/>
    <x v="2"/>
    <n v="76.78"/>
    <x v="0"/>
    <n v="6.31"/>
    <x v="2"/>
    <x v="0"/>
    <x v="0"/>
    <x v="0"/>
    <x v="0"/>
    <m/>
  </r>
  <r>
    <s v="22781A3357"/>
    <s v="Praveen"/>
    <x v="1"/>
    <n v="83.85"/>
    <x v="0"/>
    <n v="7.96"/>
    <x v="0"/>
    <x v="0"/>
    <x v="0"/>
    <x v="0"/>
    <x v="0"/>
    <m/>
  </r>
  <r>
    <s v="20781A3384"/>
    <s v="Nikhil"/>
    <x v="4"/>
    <n v="68.28"/>
    <x v="0"/>
    <n v="8.3699999999999992"/>
    <x v="2"/>
    <x v="0"/>
    <x v="1"/>
    <x v="0"/>
    <x v="8"/>
    <s v="No"/>
  </r>
  <r>
    <s v="20781A3385"/>
    <s v="Vamsi"/>
    <x v="1"/>
    <n v="89.55"/>
    <x v="0"/>
    <n v="5.05"/>
    <x v="2"/>
    <x v="0"/>
    <x v="0"/>
    <x v="0"/>
    <x v="0"/>
    <m/>
  </r>
  <r>
    <s v="20781A3386"/>
    <s v="Tejaswini"/>
    <x v="2"/>
    <n v="84.06"/>
    <x v="0"/>
    <n v="6"/>
    <x v="2"/>
    <x v="0"/>
    <x v="0"/>
    <x v="0"/>
    <x v="0"/>
    <m/>
  </r>
  <r>
    <s v="21781A3369"/>
    <s v="Sumalatha"/>
    <x v="3"/>
    <n v="94.69"/>
    <x v="0"/>
    <n v="9.15"/>
    <x v="3"/>
    <x v="0"/>
    <x v="0"/>
    <x v="0"/>
    <x v="0"/>
    <m/>
  </r>
  <r>
    <s v="23781A3338"/>
    <s v="Manoj"/>
    <x v="2"/>
    <n v="80.13"/>
    <x v="0"/>
    <n v="6.19"/>
    <x v="1"/>
    <x v="0"/>
    <x v="0"/>
    <x v="0"/>
    <x v="0"/>
    <m/>
  </r>
  <r>
    <s v="23781A3339"/>
    <s v="Lakshmi"/>
    <x v="5"/>
    <n v="95.32"/>
    <x v="1"/>
    <n v="8.59"/>
    <x v="1"/>
    <x v="1"/>
    <x v="0"/>
    <x v="0"/>
    <x v="0"/>
    <m/>
  </r>
  <r>
    <s v="22781A3358"/>
    <s v="Srinivas"/>
    <x v="0"/>
    <n v="82.53"/>
    <x v="0"/>
    <n v="8.3000000000000007"/>
    <x v="0"/>
    <x v="0"/>
    <x v="0"/>
    <x v="0"/>
    <x v="0"/>
    <m/>
  </r>
  <r>
    <s v="20781A3387"/>
    <s v="Raghava"/>
    <x v="2"/>
    <n v="72.44"/>
    <x v="1"/>
    <n v="7.93"/>
    <x v="2"/>
    <x v="3"/>
    <x v="1"/>
    <x v="0"/>
    <x v="5"/>
    <s v="No"/>
  </r>
  <r>
    <s v="21781A3370"/>
    <s v="Kavya"/>
    <x v="0"/>
    <n v="80.84"/>
    <x v="0"/>
    <n v="6.71"/>
    <x v="3"/>
    <x v="0"/>
    <x v="0"/>
    <x v="0"/>
    <x v="0"/>
    <m/>
  </r>
  <r>
    <s v="23781A3340"/>
    <s v="Anjali"/>
    <x v="1"/>
    <n v="72.180000000000007"/>
    <x v="1"/>
    <n v="9.2200000000000006"/>
    <x v="1"/>
    <x v="1"/>
    <x v="1"/>
    <x v="0"/>
    <x v="1"/>
    <s v="No"/>
  </r>
  <r>
    <s v="21781A3371"/>
    <s v="Swathi"/>
    <x v="3"/>
    <n v="69.72"/>
    <x v="0"/>
    <n v="7.82"/>
    <x v="3"/>
    <x v="0"/>
    <x v="1"/>
    <x v="0"/>
    <x v="2"/>
    <s v="No"/>
  </r>
  <r>
    <s v="20781A3388"/>
    <s v="Sindhu"/>
    <x v="0"/>
    <n v="87.41"/>
    <x v="0"/>
    <n v="5.37"/>
    <x v="2"/>
    <x v="0"/>
    <x v="0"/>
    <x v="0"/>
    <x v="0"/>
    <m/>
  </r>
  <r>
    <s v="21781A3372"/>
    <s v="Chaitanya"/>
    <x v="0"/>
    <n v="90.8"/>
    <x v="0"/>
    <n v="9.5299999999999994"/>
    <x v="3"/>
    <x v="0"/>
    <x v="0"/>
    <x v="0"/>
    <x v="0"/>
    <m/>
  </r>
  <r>
    <s v="23781A3341"/>
    <s v="Sumalatha"/>
    <x v="2"/>
    <n v="62.19"/>
    <x v="0"/>
    <n v="6.95"/>
    <x v="1"/>
    <x v="0"/>
    <x v="0"/>
    <x v="1"/>
    <x v="0"/>
    <m/>
  </r>
  <r>
    <s v="20781A3389"/>
    <s v="Deepika"/>
    <x v="2"/>
    <n v="71.25"/>
    <x v="0"/>
    <n v="8.1"/>
    <x v="2"/>
    <x v="0"/>
    <x v="1"/>
    <x v="0"/>
    <x v="6"/>
    <s v="No"/>
  </r>
  <r>
    <s v="20781A3390"/>
    <s v="Lokesh"/>
    <x v="0"/>
    <n v="62.13"/>
    <x v="0"/>
    <n v="6.55"/>
    <x v="2"/>
    <x v="0"/>
    <x v="0"/>
    <x v="1"/>
    <x v="0"/>
    <m/>
  </r>
  <r>
    <s v="20781A3391"/>
    <s v="Saneeth"/>
    <x v="2"/>
    <n v="61.42"/>
    <x v="0"/>
    <n v="8.4"/>
    <x v="2"/>
    <x v="0"/>
    <x v="0"/>
    <x v="1"/>
    <x v="0"/>
    <m/>
  </r>
  <r>
    <s v="21781A3373"/>
    <s v="Praveen"/>
    <x v="1"/>
    <n v="87.29"/>
    <x v="0"/>
    <n v="7.18"/>
    <x v="3"/>
    <x v="0"/>
    <x v="0"/>
    <x v="0"/>
    <x v="0"/>
    <m/>
  </r>
  <r>
    <s v="22781A3359"/>
    <s v="Sindhu"/>
    <x v="0"/>
    <n v="86.75"/>
    <x v="0"/>
    <n v="5.2"/>
    <x v="0"/>
    <x v="0"/>
    <x v="0"/>
    <x v="0"/>
    <x v="0"/>
    <m/>
  </r>
  <r>
    <s v="21781A3374"/>
    <s v="Naveen"/>
    <x v="1"/>
    <n v="98.96"/>
    <x v="0"/>
    <n v="6.63"/>
    <x v="3"/>
    <x v="0"/>
    <x v="0"/>
    <x v="0"/>
    <x v="0"/>
    <m/>
  </r>
  <r>
    <s v="22781A3360"/>
    <s v="Priya"/>
    <x v="4"/>
    <n v="86.28"/>
    <x v="0"/>
    <n v="6.01"/>
    <x v="0"/>
    <x v="0"/>
    <x v="0"/>
    <x v="0"/>
    <x v="0"/>
    <m/>
  </r>
  <r>
    <s v="21781A3375"/>
    <s v="Akhila"/>
    <x v="0"/>
    <n v="97.18"/>
    <x v="0"/>
    <n v="9.66"/>
    <x v="3"/>
    <x v="0"/>
    <x v="0"/>
    <x v="0"/>
    <x v="0"/>
    <m/>
  </r>
  <r>
    <s v="23781A3342"/>
    <s v="Vamsi"/>
    <x v="2"/>
    <n v="84.54"/>
    <x v="0"/>
    <n v="6.08"/>
    <x v="1"/>
    <x v="0"/>
    <x v="0"/>
    <x v="0"/>
    <x v="0"/>
    <m/>
  </r>
  <r>
    <s v="23781A3343"/>
    <s v="Sumalatha"/>
    <x v="0"/>
    <n v="85.57"/>
    <x v="0"/>
    <n v="6.66"/>
    <x v="1"/>
    <x v="0"/>
    <x v="0"/>
    <x v="0"/>
    <x v="0"/>
    <m/>
  </r>
  <r>
    <s v="20781A3392"/>
    <s v="Anjali"/>
    <x v="4"/>
    <n v="70.45"/>
    <x v="0"/>
    <n v="8.1199999999999992"/>
    <x v="2"/>
    <x v="0"/>
    <x v="1"/>
    <x v="0"/>
    <x v="8"/>
    <s v="No"/>
  </r>
  <r>
    <s v="21781A3376"/>
    <s v="Mahesh"/>
    <x v="2"/>
    <n v="85.48"/>
    <x v="0"/>
    <n v="5.86"/>
    <x v="3"/>
    <x v="0"/>
    <x v="0"/>
    <x v="0"/>
    <x v="0"/>
    <m/>
  </r>
  <r>
    <s v="23781A3344"/>
    <s v="Harini"/>
    <x v="3"/>
    <n v="86.34"/>
    <x v="0"/>
    <n v="6.37"/>
    <x v="1"/>
    <x v="0"/>
    <x v="0"/>
    <x v="0"/>
    <x v="0"/>
    <m/>
  </r>
  <r>
    <s v="21781A3377"/>
    <s v="Pavan"/>
    <x v="3"/>
    <n v="64.790000000000006"/>
    <x v="0"/>
    <n v="5.74"/>
    <x v="3"/>
    <x v="0"/>
    <x v="0"/>
    <x v="1"/>
    <x v="0"/>
    <m/>
  </r>
  <r>
    <s v="20781A3393"/>
    <s v="Suresh"/>
    <x v="0"/>
    <n v="98.59"/>
    <x v="0"/>
    <n v="7.83"/>
    <x v="2"/>
    <x v="0"/>
    <x v="0"/>
    <x v="0"/>
    <x v="0"/>
    <m/>
  </r>
  <r>
    <s v="20781A3394"/>
    <s v="Anjali"/>
    <x v="3"/>
    <n v="65.040000000000006"/>
    <x v="1"/>
    <n v="7.4"/>
    <x v="2"/>
    <x v="3"/>
    <x v="1"/>
    <x v="0"/>
    <x v="7"/>
    <s v="No"/>
  </r>
  <r>
    <s v="23781A3345"/>
    <s v="Saneeth"/>
    <x v="3"/>
    <n v="68.7"/>
    <x v="0"/>
    <n v="8.82"/>
    <x v="1"/>
    <x v="0"/>
    <x v="1"/>
    <x v="0"/>
    <x v="6"/>
    <s v="Yes"/>
  </r>
  <r>
    <s v="23781A3346"/>
    <s v="Bhavya"/>
    <x v="4"/>
    <n v="85.43"/>
    <x v="0"/>
    <n v="6.13"/>
    <x v="1"/>
    <x v="0"/>
    <x v="0"/>
    <x v="0"/>
    <x v="0"/>
    <m/>
  </r>
  <r>
    <s v="22781A3361"/>
    <s v="Priya"/>
    <x v="4"/>
    <n v="89.53"/>
    <x v="0"/>
    <n v="5.95"/>
    <x v="0"/>
    <x v="0"/>
    <x v="0"/>
    <x v="0"/>
    <x v="0"/>
    <m/>
  </r>
  <r>
    <s v="20781A3395"/>
    <s v="Suresh"/>
    <x v="1"/>
    <n v="68.16"/>
    <x v="0"/>
    <n v="6.76"/>
    <x v="2"/>
    <x v="0"/>
    <x v="1"/>
    <x v="0"/>
    <x v="1"/>
    <s v="No"/>
  </r>
  <r>
    <s v="22781A3362"/>
    <s v="Sindhu"/>
    <x v="1"/>
    <n v="94.53"/>
    <x v="0"/>
    <n v="9.61"/>
    <x v="0"/>
    <x v="0"/>
    <x v="0"/>
    <x v="0"/>
    <x v="0"/>
    <m/>
  </r>
  <r>
    <s v="22781A3363"/>
    <s v="Rahul"/>
    <x v="1"/>
    <n v="68.709999999999994"/>
    <x v="0"/>
    <n v="9.5500000000000007"/>
    <x v="0"/>
    <x v="0"/>
    <x v="1"/>
    <x v="0"/>
    <x v="9"/>
    <s v="No"/>
  </r>
  <r>
    <s v="21781A3378"/>
    <s v="Mahesh"/>
    <x v="2"/>
    <n v="83.17"/>
    <x v="0"/>
    <n v="8.1"/>
    <x v="3"/>
    <x v="0"/>
    <x v="0"/>
    <x v="0"/>
    <x v="0"/>
    <m/>
  </r>
  <r>
    <s v="22781A3364"/>
    <s v="Sumalatha"/>
    <x v="4"/>
    <n v="92.16"/>
    <x v="0"/>
    <n v="9.1199999999999992"/>
    <x v="0"/>
    <x v="0"/>
    <x v="0"/>
    <x v="0"/>
    <x v="0"/>
    <m/>
  </r>
  <r>
    <s v="23781A3347"/>
    <s v="Rahul"/>
    <x v="3"/>
    <n v="88.12"/>
    <x v="0"/>
    <n v="7.18"/>
    <x v="1"/>
    <x v="0"/>
    <x v="0"/>
    <x v="0"/>
    <x v="0"/>
    <m/>
  </r>
  <r>
    <s v="22781A3365"/>
    <s v="Srinivas"/>
    <x v="5"/>
    <n v="76.44"/>
    <x v="0"/>
    <n v="9.74"/>
    <x v="0"/>
    <x v="0"/>
    <x v="0"/>
    <x v="0"/>
    <x v="0"/>
    <m/>
  </r>
  <r>
    <s v="20781A3396"/>
    <s v="Lakshmi"/>
    <x v="1"/>
    <n v="76.959999999999994"/>
    <x v="0"/>
    <n v="8.68"/>
    <x v="2"/>
    <x v="0"/>
    <x v="0"/>
    <x v="0"/>
    <x v="0"/>
    <m/>
  </r>
  <r>
    <s v="22781A3366"/>
    <s v="Rohit"/>
    <x v="5"/>
    <n v="83"/>
    <x v="0"/>
    <n v="5.41"/>
    <x v="0"/>
    <x v="0"/>
    <x v="0"/>
    <x v="0"/>
    <x v="0"/>
    <m/>
  </r>
  <r>
    <s v="23781A3348"/>
    <s v="Manoj"/>
    <x v="1"/>
    <n v="94.44"/>
    <x v="0"/>
    <n v="7.3"/>
    <x v="1"/>
    <x v="0"/>
    <x v="0"/>
    <x v="0"/>
    <x v="0"/>
    <m/>
  </r>
  <r>
    <s v="21781A3379"/>
    <s v="Vamsi"/>
    <x v="0"/>
    <n v="66.14"/>
    <x v="0"/>
    <n v="8.0299999999999994"/>
    <x v="3"/>
    <x v="0"/>
    <x v="1"/>
    <x v="0"/>
    <x v="9"/>
    <s v="No"/>
  </r>
  <r>
    <s v="23781A3349"/>
    <s v="Anjali"/>
    <x v="3"/>
    <n v="75.17"/>
    <x v="0"/>
    <n v="6.83"/>
    <x v="1"/>
    <x v="0"/>
    <x v="0"/>
    <x v="0"/>
    <x v="0"/>
    <m/>
  </r>
  <r>
    <s v="23781A3350"/>
    <s v="Sindhu"/>
    <x v="2"/>
    <n v="89.93"/>
    <x v="0"/>
    <n v="7.91"/>
    <x v="1"/>
    <x v="0"/>
    <x v="0"/>
    <x v="0"/>
    <x v="0"/>
    <m/>
  </r>
  <r>
    <s v="22781A3367"/>
    <s v="Kiran"/>
    <x v="0"/>
    <n v="81.14"/>
    <x v="0"/>
    <n v="7.29"/>
    <x v="0"/>
    <x v="0"/>
    <x v="0"/>
    <x v="0"/>
    <x v="0"/>
    <m/>
  </r>
  <r>
    <s v="21781A3380"/>
    <s v="Suresh"/>
    <x v="4"/>
    <n v="87.51"/>
    <x v="0"/>
    <n v="6.46"/>
    <x v="3"/>
    <x v="0"/>
    <x v="0"/>
    <x v="0"/>
    <x v="0"/>
    <m/>
  </r>
  <r>
    <s v="23781A3351"/>
    <s v="Saneeth"/>
    <x v="1"/>
    <n v="86.7"/>
    <x v="0"/>
    <n v="9.52"/>
    <x v="1"/>
    <x v="0"/>
    <x v="0"/>
    <x v="0"/>
    <x v="0"/>
    <m/>
  </r>
  <r>
    <s v="21781A3381"/>
    <s v="Divya"/>
    <x v="3"/>
    <n v="64.37"/>
    <x v="0"/>
    <n v="8.0299999999999994"/>
    <x v="3"/>
    <x v="0"/>
    <x v="0"/>
    <x v="1"/>
    <x v="0"/>
    <m/>
  </r>
  <r>
    <s v="22781A3368"/>
    <s v="Raghava"/>
    <x v="3"/>
    <n v="84.75"/>
    <x v="0"/>
    <n v="8.1300000000000008"/>
    <x v="0"/>
    <x v="0"/>
    <x v="0"/>
    <x v="0"/>
    <x v="0"/>
    <m/>
  </r>
  <r>
    <s v="23781A3352"/>
    <s v="Saneeth"/>
    <x v="3"/>
    <n v="85.19"/>
    <x v="0"/>
    <n v="6.92"/>
    <x v="1"/>
    <x v="0"/>
    <x v="0"/>
    <x v="0"/>
    <x v="0"/>
    <m/>
  </r>
  <r>
    <s v="23781A3353"/>
    <s v="Suresh"/>
    <x v="0"/>
    <n v="76.900000000000006"/>
    <x v="0"/>
    <n v="9.6199999999999992"/>
    <x v="1"/>
    <x v="0"/>
    <x v="0"/>
    <x v="0"/>
    <x v="0"/>
    <m/>
  </r>
  <r>
    <s v="22781A3369"/>
    <s v="Swathi"/>
    <x v="3"/>
    <n v="68.099999999999994"/>
    <x v="0"/>
    <n v="5.33"/>
    <x v="0"/>
    <x v="0"/>
    <x v="1"/>
    <x v="0"/>
    <x v="7"/>
    <s v="No"/>
  </r>
  <r>
    <s v="20781A3397"/>
    <s v="Mahesh"/>
    <x v="2"/>
    <n v="85.46"/>
    <x v="0"/>
    <n v="6.5"/>
    <x v="2"/>
    <x v="0"/>
    <x v="0"/>
    <x v="0"/>
    <x v="0"/>
    <m/>
  </r>
  <r>
    <s v="21781A3382"/>
    <s v="Sumalatha"/>
    <x v="4"/>
    <n v="95.26"/>
    <x v="0"/>
    <n v="6.01"/>
    <x v="3"/>
    <x v="0"/>
    <x v="0"/>
    <x v="0"/>
    <x v="0"/>
    <m/>
  </r>
  <r>
    <s v="23781A3354"/>
    <s v="Keerthi"/>
    <x v="5"/>
    <n v="95.09"/>
    <x v="0"/>
    <n v="6.13"/>
    <x v="1"/>
    <x v="0"/>
    <x v="0"/>
    <x v="0"/>
    <x v="0"/>
    <m/>
  </r>
  <r>
    <s v="23781A3355"/>
    <s v="Chaitanya"/>
    <x v="3"/>
    <n v="64.72"/>
    <x v="0"/>
    <n v="6.07"/>
    <x v="1"/>
    <x v="0"/>
    <x v="0"/>
    <x v="1"/>
    <x v="0"/>
    <m/>
  </r>
  <r>
    <s v="22781A3370"/>
    <s v="Rohit"/>
    <x v="1"/>
    <n v="83.77"/>
    <x v="0"/>
    <n v="7.6"/>
    <x v="0"/>
    <x v="0"/>
    <x v="0"/>
    <x v="0"/>
    <x v="0"/>
    <m/>
  </r>
  <r>
    <s v="20781A3398"/>
    <s v="Divya"/>
    <x v="3"/>
    <n v="65.42"/>
    <x v="1"/>
    <n v="6.19"/>
    <x v="2"/>
    <x v="3"/>
    <x v="1"/>
    <x v="0"/>
    <x v="9"/>
    <s v="No"/>
  </r>
  <r>
    <s v="21781A3383"/>
    <s v="Naveen"/>
    <x v="2"/>
    <n v="62.1"/>
    <x v="0"/>
    <n v="7.37"/>
    <x v="3"/>
    <x v="0"/>
    <x v="0"/>
    <x v="1"/>
    <x v="0"/>
    <m/>
  </r>
  <r>
    <s v="21781A3384"/>
    <s v="Bhavya"/>
    <x v="1"/>
    <n v="85.15"/>
    <x v="0"/>
    <n v="9.4700000000000006"/>
    <x v="3"/>
    <x v="0"/>
    <x v="0"/>
    <x v="0"/>
    <x v="0"/>
    <m/>
  </r>
  <r>
    <s v="21781A3385"/>
    <s v="Rahul"/>
    <x v="4"/>
    <n v="77.180000000000007"/>
    <x v="0"/>
    <n v="7.72"/>
    <x v="3"/>
    <x v="0"/>
    <x v="0"/>
    <x v="0"/>
    <x v="0"/>
    <m/>
  </r>
  <r>
    <s v="20781A3399"/>
    <s v="Keerthi"/>
    <x v="2"/>
    <n v="73.260000000000005"/>
    <x v="0"/>
    <n v="5.3"/>
    <x v="2"/>
    <x v="0"/>
    <x v="1"/>
    <x v="0"/>
    <x v="5"/>
    <s v="No"/>
  </r>
  <r>
    <s v="23781A3356"/>
    <s v="Deepika"/>
    <x v="3"/>
    <n v="86.31"/>
    <x v="0"/>
    <n v="8.11"/>
    <x v="1"/>
    <x v="0"/>
    <x v="0"/>
    <x v="0"/>
    <x v="0"/>
    <m/>
  </r>
  <r>
    <s v="20781A3400"/>
    <s v="Sindhu"/>
    <x v="1"/>
    <n v="93.91"/>
    <x v="0"/>
    <n v="6.37"/>
    <x v="2"/>
    <x v="0"/>
    <x v="0"/>
    <x v="0"/>
    <x v="0"/>
    <m/>
  </r>
  <r>
    <s v="21781A3386"/>
    <s v="Vamsi"/>
    <x v="1"/>
    <n v="66.11"/>
    <x v="0"/>
    <n v="7.09"/>
    <x v="3"/>
    <x v="0"/>
    <x v="1"/>
    <x v="0"/>
    <x v="2"/>
    <s v="No"/>
  </r>
  <r>
    <s v="20781A3401"/>
    <s v="Bhavya"/>
    <x v="4"/>
    <n v="78.25"/>
    <x v="0"/>
    <n v="8.42"/>
    <x v="2"/>
    <x v="0"/>
    <x v="0"/>
    <x v="0"/>
    <x v="0"/>
    <m/>
  </r>
  <r>
    <s v="21781A3387"/>
    <s v="Srinivas"/>
    <x v="3"/>
    <n v="92.03"/>
    <x v="0"/>
    <n v="9.2899999999999991"/>
    <x v="3"/>
    <x v="0"/>
    <x v="0"/>
    <x v="0"/>
    <x v="0"/>
    <m/>
  </r>
  <r>
    <s v="21781A3388"/>
    <s v="Kiran"/>
    <x v="1"/>
    <n v="96"/>
    <x v="0"/>
    <n v="9.56"/>
    <x v="3"/>
    <x v="0"/>
    <x v="0"/>
    <x v="0"/>
    <x v="0"/>
    <m/>
  </r>
  <r>
    <s v="21781A3389"/>
    <s v="Tejaswini"/>
    <x v="4"/>
    <n v="88.98"/>
    <x v="0"/>
    <n v="9.26"/>
    <x v="3"/>
    <x v="0"/>
    <x v="0"/>
    <x v="0"/>
    <x v="0"/>
    <m/>
  </r>
  <r>
    <s v="22781A3371"/>
    <s v="Harini"/>
    <x v="0"/>
    <n v="63.95"/>
    <x v="0"/>
    <n v="5.94"/>
    <x v="0"/>
    <x v="0"/>
    <x v="0"/>
    <x v="1"/>
    <x v="0"/>
    <m/>
  </r>
  <r>
    <s v="23781A3357"/>
    <s v="Akhila"/>
    <x v="5"/>
    <n v="97.78"/>
    <x v="0"/>
    <n v="9.3699999999999992"/>
    <x v="1"/>
    <x v="0"/>
    <x v="0"/>
    <x v="0"/>
    <x v="0"/>
    <m/>
  </r>
  <r>
    <s v="23781A3358"/>
    <s v="Harini"/>
    <x v="1"/>
    <n v="93.1"/>
    <x v="0"/>
    <n v="8.2200000000000006"/>
    <x v="1"/>
    <x v="0"/>
    <x v="0"/>
    <x v="0"/>
    <x v="0"/>
    <m/>
  </r>
  <r>
    <s v="22781A3372"/>
    <s v="Rohit"/>
    <x v="4"/>
    <n v="98.48"/>
    <x v="0"/>
    <n v="7.01"/>
    <x v="0"/>
    <x v="0"/>
    <x v="0"/>
    <x v="0"/>
    <x v="0"/>
    <m/>
  </r>
  <r>
    <s v="22781A3373"/>
    <s v="Chaitanya"/>
    <x v="2"/>
    <n v="86.32"/>
    <x v="0"/>
    <n v="8.94"/>
    <x v="0"/>
    <x v="0"/>
    <x v="0"/>
    <x v="0"/>
    <x v="0"/>
    <m/>
  </r>
  <r>
    <s v="23781A3359"/>
    <s v="Sumalatha"/>
    <x v="3"/>
    <n v="98.14"/>
    <x v="0"/>
    <n v="7.36"/>
    <x v="1"/>
    <x v="0"/>
    <x v="0"/>
    <x v="0"/>
    <x v="0"/>
    <m/>
  </r>
  <r>
    <s v="22781A3374"/>
    <s v="Lakshmi"/>
    <x v="1"/>
    <n v="74.66"/>
    <x v="0"/>
    <n v="7.26"/>
    <x v="0"/>
    <x v="0"/>
    <x v="1"/>
    <x v="0"/>
    <x v="7"/>
    <s v="No"/>
  </r>
  <r>
    <s v="21781A3390"/>
    <s v="Saneeth"/>
    <x v="2"/>
    <n v="70.8"/>
    <x v="0"/>
    <n v="6.13"/>
    <x v="3"/>
    <x v="0"/>
    <x v="1"/>
    <x v="0"/>
    <x v="6"/>
    <s v="No"/>
  </r>
  <r>
    <s v="22781A3375"/>
    <s v="Deepika"/>
    <x v="1"/>
    <n v="97.28"/>
    <x v="0"/>
    <n v="7.46"/>
    <x v="0"/>
    <x v="0"/>
    <x v="0"/>
    <x v="0"/>
    <x v="0"/>
    <m/>
  </r>
  <r>
    <s v="21781A3391"/>
    <s v="Anjali"/>
    <x v="1"/>
    <n v="63.98"/>
    <x v="0"/>
    <n v="5.15"/>
    <x v="3"/>
    <x v="0"/>
    <x v="0"/>
    <x v="1"/>
    <x v="0"/>
    <m/>
  </r>
  <r>
    <s v="23781A3360"/>
    <s v="Sumalatha"/>
    <x v="0"/>
    <n v="98.65"/>
    <x v="0"/>
    <n v="7.77"/>
    <x v="1"/>
    <x v="0"/>
    <x v="0"/>
    <x v="0"/>
    <x v="0"/>
    <m/>
  </r>
  <r>
    <s v="21781A3392"/>
    <s v="Lakshmi"/>
    <x v="1"/>
    <n v="60.37"/>
    <x v="0"/>
    <n v="5.48"/>
    <x v="3"/>
    <x v="0"/>
    <x v="0"/>
    <x v="1"/>
    <x v="0"/>
    <m/>
  </r>
  <r>
    <s v="22781A3376"/>
    <s v="Divya"/>
    <x v="0"/>
    <n v="88.78"/>
    <x v="0"/>
    <n v="6.47"/>
    <x v="0"/>
    <x v="0"/>
    <x v="0"/>
    <x v="0"/>
    <x v="0"/>
    <m/>
  </r>
  <r>
    <s v="20781A3402"/>
    <s v="Rohit"/>
    <x v="3"/>
    <n v="86.03"/>
    <x v="0"/>
    <n v="7.14"/>
    <x v="2"/>
    <x v="0"/>
    <x v="0"/>
    <x v="0"/>
    <x v="0"/>
    <m/>
  </r>
  <r>
    <s v="22781A3377"/>
    <s v="Raghava"/>
    <x v="4"/>
    <n v="86.19"/>
    <x v="0"/>
    <n v="7.02"/>
    <x v="0"/>
    <x v="0"/>
    <x v="0"/>
    <x v="0"/>
    <x v="0"/>
    <m/>
  </r>
  <r>
    <s v="20781A3403"/>
    <s v="Nikhil"/>
    <x v="1"/>
    <n v="67.67"/>
    <x v="0"/>
    <n v="6.84"/>
    <x v="2"/>
    <x v="0"/>
    <x v="1"/>
    <x v="0"/>
    <x v="6"/>
    <s v="Yes"/>
  </r>
  <r>
    <s v="23781A3361"/>
    <s v="Manoj"/>
    <x v="4"/>
    <n v="60.14"/>
    <x v="0"/>
    <n v="5.18"/>
    <x v="1"/>
    <x v="0"/>
    <x v="0"/>
    <x v="1"/>
    <x v="0"/>
    <m/>
  </r>
  <r>
    <s v="22781A3378"/>
    <s v="Nikhil"/>
    <x v="2"/>
    <n v="78.53"/>
    <x v="0"/>
    <n v="6.95"/>
    <x v="0"/>
    <x v="0"/>
    <x v="0"/>
    <x v="0"/>
    <x v="0"/>
    <m/>
  </r>
  <r>
    <s v="23781A3362"/>
    <s v="Lokesh"/>
    <x v="5"/>
    <n v="63.32"/>
    <x v="0"/>
    <n v="8.1300000000000008"/>
    <x v="1"/>
    <x v="0"/>
    <x v="0"/>
    <x v="1"/>
    <x v="0"/>
    <m/>
  </r>
  <r>
    <s v="23781A3363"/>
    <s v="Raghava"/>
    <x v="3"/>
    <n v="99.82"/>
    <x v="0"/>
    <n v="6.35"/>
    <x v="1"/>
    <x v="0"/>
    <x v="0"/>
    <x v="0"/>
    <x v="0"/>
    <m/>
  </r>
  <r>
    <s v="20781A3404"/>
    <s v="Rohit"/>
    <x v="4"/>
    <n v="98.96"/>
    <x v="1"/>
    <n v="5.31"/>
    <x v="2"/>
    <x v="3"/>
    <x v="0"/>
    <x v="0"/>
    <x v="0"/>
    <m/>
  </r>
  <r>
    <s v="20781A3405"/>
    <s v="Manoj"/>
    <x v="3"/>
    <n v="68.319999999999993"/>
    <x v="0"/>
    <n v="7.31"/>
    <x v="2"/>
    <x v="0"/>
    <x v="1"/>
    <x v="0"/>
    <x v="4"/>
    <s v="No"/>
  </r>
  <r>
    <s v="21781A3393"/>
    <s v="Lakshmi"/>
    <x v="1"/>
    <n v="75.52"/>
    <x v="0"/>
    <n v="7.27"/>
    <x v="3"/>
    <x v="0"/>
    <x v="0"/>
    <x v="0"/>
    <x v="0"/>
    <m/>
  </r>
  <r>
    <s v="23781A3364"/>
    <s v="Nikhil"/>
    <x v="0"/>
    <n v="87.61"/>
    <x v="1"/>
    <n v="5.21"/>
    <x v="1"/>
    <x v="1"/>
    <x v="0"/>
    <x v="0"/>
    <x v="0"/>
    <m/>
  </r>
  <r>
    <s v="20781A3406"/>
    <s v="Nikhil"/>
    <x v="0"/>
    <n v="81.05"/>
    <x v="0"/>
    <n v="8.36"/>
    <x v="2"/>
    <x v="0"/>
    <x v="0"/>
    <x v="0"/>
    <x v="0"/>
    <m/>
  </r>
  <r>
    <s v="23781A3365"/>
    <s v="Harini"/>
    <x v="1"/>
    <n v="95.34"/>
    <x v="0"/>
    <n v="6.98"/>
    <x v="1"/>
    <x v="0"/>
    <x v="0"/>
    <x v="0"/>
    <x v="0"/>
    <m/>
  </r>
  <r>
    <s v="20781A3407"/>
    <s v="Swathi"/>
    <x v="0"/>
    <n v="90.26"/>
    <x v="1"/>
    <n v="9.06"/>
    <x v="2"/>
    <x v="3"/>
    <x v="0"/>
    <x v="0"/>
    <x v="0"/>
    <m/>
  </r>
  <r>
    <s v="21781A3394"/>
    <s v="Harini"/>
    <x v="2"/>
    <n v="76.84"/>
    <x v="0"/>
    <n v="5.47"/>
    <x v="3"/>
    <x v="0"/>
    <x v="0"/>
    <x v="0"/>
    <x v="0"/>
    <m/>
  </r>
  <r>
    <s v="21781A3395"/>
    <s v="Harini"/>
    <x v="3"/>
    <n v="97.14"/>
    <x v="0"/>
    <n v="6.23"/>
    <x v="3"/>
    <x v="0"/>
    <x v="0"/>
    <x v="0"/>
    <x v="0"/>
    <m/>
  </r>
  <r>
    <s v="22781A3379"/>
    <s v="Naveen"/>
    <x v="0"/>
    <n v="89.6"/>
    <x v="0"/>
    <n v="9.14"/>
    <x v="0"/>
    <x v="0"/>
    <x v="0"/>
    <x v="0"/>
    <x v="0"/>
    <m/>
  </r>
  <r>
    <s v="21781A3396"/>
    <s v="Sumalatha"/>
    <x v="1"/>
    <n v="67.400000000000006"/>
    <x v="0"/>
    <n v="9.5500000000000007"/>
    <x v="3"/>
    <x v="0"/>
    <x v="1"/>
    <x v="0"/>
    <x v="7"/>
    <s v="No"/>
  </r>
  <r>
    <s v="21781A3397"/>
    <s v="Pavan"/>
    <x v="3"/>
    <n v="64.59"/>
    <x v="0"/>
    <n v="5.82"/>
    <x v="3"/>
    <x v="0"/>
    <x v="0"/>
    <x v="1"/>
    <x v="0"/>
    <m/>
  </r>
  <r>
    <s v="23781A3366"/>
    <s v="Kiran"/>
    <x v="5"/>
    <n v="74.22"/>
    <x v="0"/>
    <n v="6.92"/>
    <x v="1"/>
    <x v="0"/>
    <x v="1"/>
    <x v="0"/>
    <x v="5"/>
    <s v="No"/>
  </r>
  <r>
    <s v="20781A3408"/>
    <s v="Anjali"/>
    <x v="5"/>
    <n v="98.24"/>
    <x v="0"/>
    <n v="6.51"/>
    <x v="2"/>
    <x v="0"/>
    <x v="0"/>
    <x v="0"/>
    <x v="0"/>
    <m/>
  </r>
  <r>
    <s v="20781A3409"/>
    <s v="Harini"/>
    <x v="4"/>
    <n v="85.53"/>
    <x v="0"/>
    <n v="8.2100000000000009"/>
    <x v="2"/>
    <x v="0"/>
    <x v="0"/>
    <x v="0"/>
    <x v="0"/>
    <m/>
  </r>
  <r>
    <s v="22781A3380"/>
    <s v="Rohit"/>
    <x v="0"/>
    <n v="96.85"/>
    <x v="0"/>
    <n v="6.52"/>
    <x v="0"/>
    <x v="0"/>
    <x v="0"/>
    <x v="0"/>
    <x v="0"/>
    <m/>
  </r>
  <r>
    <s v="20781A3410"/>
    <s v="Suresh"/>
    <x v="3"/>
    <n v="64.42"/>
    <x v="1"/>
    <n v="7.56"/>
    <x v="2"/>
    <x v="3"/>
    <x v="0"/>
    <x v="1"/>
    <x v="0"/>
    <m/>
  </r>
  <r>
    <s v="22781A3381"/>
    <s v="Anjali"/>
    <x v="0"/>
    <n v="91.68"/>
    <x v="0"/>
    <n v="7.06"/>
    <x v="0"/>
    <x v="0"/>
    <x v="0"/>
    <x v="0"/>
    <x v="0"/>
    <m/>
  </r>
  <r>
    <s v="23781A3367"/>
    <s v="Srinivas"/>
    <x v="0"/>
    <n v="95.31"/>
    <x v="0"/>
    <n v="9.25"/>
    <x v="1"/>
    <x v="0"/>
    <x v="0"/>
    <x v="0"/>
    <x v="0"/>
    <m/>
  </r>
  <r>
    <s v="21781A3398"/>
    <s v="Mahesh"/>
    <x v="1"/>
    <n v="63.97"/>
    <x v="1"/>
    <n v="5.52"/>
    <x v="3"/>
    <x v="4"/>
    <x v="0"/>
    <x v="1"/>
    <x v="0"/>
    <m/>
  </r>
  <r>
    <s v="23781A3368"/>
    <s v="Bhavya"/>
    <x v="2"/>
    <n v="77.48"/>
    <x v="0"/>
    <n v="7.39"/>
    <x v="1"/>
    <x v="0"/>
    <x v="0"/>
    <x v="0"/>
    <x v="0"/>
    <m/>
  </r>
  <r>
    <s v="23781A3369"/>
    <s v="Praveen"/>
    <x v="1"/>
    <n v="78.41"/>
    <x v="0"/>
    <n v="9.01"/>
    <x v="1"/>
    <x v="0"/>
    <x v="0"/>
    <x v="0"/>
    <x v="0"/>
    <m/>
  </r>
  <r>
    <s v="20781A3411"/>
    <s v="Vamsi"/>
    <x v="1"/>
    <n v="83.18"/>
    <x v="0"/>
    <n v="5.09"/>
    <x v="2"/>
    <x v="0"/>
    <x v="0"/>
    <x v="0"/>
    <x v="0"/>
    <m/>
  </r>
  <r>
    <s v="20781A3412"/>
    <s v="Tejaswini"/>
    <x v="4"/>
    <n v="68.09"/>
    <x v="1"/>
    <n v="6.65"/>
    <x v="2"/>
    <x v="3"/>
    <x v="1"/>
    <x v="0"/>
    <x v="2"/>
    <s v="No"/>
  </r>
  <r>
    <s v="22781A3382"/>
    <s v="Suresh"/>
    <x v="1"/>
    <n v="79.02"/>
    <x v="1"/>
    <n v="9.4600000000000009"/>
    <x v="0"/>
    <x v="2"/>
    <x v="0"/>
    <x v="0"/>
    <x v="0"/>
    <m/>
  </r>
  <r>
    <s v="21781A3399"/>
    <s v="Chaitanya"/>
    <x v="5"/>
    <n v="95.78"/>
    <x v="0"/>
    <n v="7.58"/>
    <x v="3"/>
    <x v="0"/>
    <x v="0"/>
    <x v="0"/>
    <x v="0"/>
    <m/>
  </r>
  <r>
    <s v="20781A3413"/>
    <s v="Kiran"/>
    <x v="2"/>
    <n v="79.45"/>
    <x v="0"/>
    <n v="5.65"/>
    <x v="2"/>
    <x v="0"/>
    <x v="0"/>
    <x v="0"/>
    <x v="0"/>
    <m/>
  </r>
  <r>
    <s v="22781A3383"/>
    <s v="Harini"/>
    <x v="4"/>
    <n v="65.23"/>
    <x v="0"/>
    <n v="5.6"/>
    <x v="0"/>
    <x v="0"/>
    <x v="1"/>
    <x v="0"/>
    <x v="6"/>
    <s v="No"/>
  </r>
  <r>
    <s v="21781A3400"/>
    <s v="Mahesh"/>
    <x v="1"/>
    <n v="62.91"/>
    <x v="0"/>
    <n v="8.8699999999999992"/>
    <x v="3"/>
    <x v="0"/>
    <x v="0"/>
    <x v="1"/>
    <x v="0"/>
    <m/>
  </r>
  <r>
    <s v="21781A3401"/>
    <s v="Naveen"/>
    <x v="1"/>
    <n v="62.1"/>
    <x v="0"/>
    <n v="7.84"/>
    <x v="3"/>
    <x v="0"/>
    <x v="0"/>
    <x v="1"/>
    <x v="0"/>
    <m/>
  </r>
  <r>
    <s v="23781A3370"/>
    <s v="Srinivas"/>
    <x v="4"/>
    <n v="67.55"/>
    <x v="0"/>
    <n v="6.27"/>
    <x v="1"/>
    <x v="0"/>
    <x v="1"/>
    <x v="0"/>
    <x v="1"/>
    <s v="No"/>
  </r>
  <r>
    <s v="21781A3402"/>
    <s v="Keerthi"/>
    <x v="4"/>
    <n v="78.150000000000006"/>
    <x v="0"/>
    <n v="5.74"/>
    <x v="3"/>
    <x v="0"/>
    <x v="0"/>
    <x v="0"/>
    <x v="0"/>
    <m/>
  </r>
  <r>
    <s v="22781A3384"/>
    <s v="Srinivas"/>
    <x v="0"/>
    <n v="98.74"/>
    <x v="0"/>
    <n v="5.0999999999999996"/>
    <x v="0"/>
    <x v="0"/>
    <x v="0"/>
    <x v="0"/>
    <x v="0"/>
    <m/>
  </r>
  <r>
    <s v="22781A3385"/>
    <s v="Srinivas"/>
    <x v="1"/>
    <n v="78.22"/>
    <x v="0"/>
    <n v="9.2100000000000009"/>
    <x v="0"/>
    <x v="0"/>
    <x v="0"/>
    <x v="0"/>
    <x v="0"/>
    <m/>
  </r>
  <r>
    <s v="20781A3414"/>
    <s v="Anjali"/>
    <x v="2"/>
    <n v="80.959999999999994"/>
    <x v="0"/>
    <n v="8.6300000000000008"/>
    <x v="2"/>
    <x v="0"/>
    <x v="0"/>
    <x v="0"/>
    <x v="0"/>
    <m/>
  </r>
  <r>
    <s v="20781A3415"/>
    <s v="Akhila"/>
    <x v="3"/>
    <n v="88.54"/>
    <x v="0"/>
    <n v="8.52"/>
    <x v="2"/>
    <x v="0"/>
    <x v="0"/>
    <x v="0"/>
    <x v="0"/>
    <m/>
  </r>
  <r>
    <s v="22781A3386"/>
    <s v="Deepika"/>
    <x v="1"/>
    <n v="64.430000000000007"/>
    <x v="0"/>
    <n v="5.49"/>
    <x v="0"/>
    <x v="0"/>
    <x v="0"/>
    <x v="1"/>
    <x v="0"/>
    <m/>
  </r>
  <r>
    <s v="23781A3371"/>
    <s v="Akhila"/>
    <x v="1"/>
    <n v="97.07"/>
    <x v="1"/>
    <n v="8.24"/>
    <x v="1"/>
    <x v="1"/>
    <x v="0"/>
    <x v="0"/>
    <x v="0"/>
    <m/>
  </r>
  <r>
    <s v="23781A3372"/>
    <s v="Sumalatha"/>
    <x v="5"/>
    <n v="77.44"/>
    <x v="0"/>
    <n v="7.4"/>
    <x v="1"/>
    <x v="0"/>
    <x v="0"/>
    <x v="0"/>
    <x v="0"/>
    <m/>
  </r>
  <r>
    <s v="22781A3387"/>
    <s v="Deepika"/>
    <x v="2"/>
    <n v="67.47"/>
    <x v="0"/>
    <n v="8.89"/>
    <x v="0"/>
    <x v="0"/>
    <x v="1"/>
    <x v="0"/>
    <x v="2"/>
    <s v="No"/>
  </r>
  <r>
    <s v="21781A3403"/>
    <s v="Harini"/>
    <x v="5"/>
    <n v="63.69"/>
    <x v="0"/>
    <n v="9.25"/>
    <x v="3"/>
    <x v="0"/>
    <x v="0"/>
    <x v="1"/>
    <x v="0"/>
    <m/>
  </r>
  <r>
    <s v="22781A3388"/>
    <s v="Sumalatha"/>
    <x v="0"/>
    <n v="90.06"/>
    <x v="0"/>
    <n v="6.45"/>
    <x v="0"/>
    <x v="0"/>
    <x v="0"/>
    <x v="0"/>
    <x v="0"/>
    <m/>
  </r>
  <r>
    <s v="22781A3389"/>
    <s v="Rahul"/>
    <x v="4"/>
    <n v="67.03"/>
    <x v="0"/>
    <n v="5.35"/>
    <x v="0"/>
    <x v="0"/>
    <x v="1"/>
    <x v="0"/>
    <x v="7"/>
    <s v="No"/>
  </r>
  <r>
    <s v="22781A3390"/>
    <s v="Anjali"/>
    <x v="3"/>
    <n v="99.74"/>
    <x v="0"/>
    <n v="7.64"/>
    <x v="0"/>
    <x v="0"/>
    <x v="0"/>
    <x v="0"/>
    <x v="0"/>
    <m/>
  </r>
  <r>
    <s v="22781A3391"/>
    <s v="Naveen"/>
    <x v="3"/>
    <n v="60.69"/>
    <x v="0"/>
    <n v="8.5500000000000007"/>
    <x v="0"/>
    <x v="0"/>
    <x v="0"/>
    <x v="1"/>
    <x v="0"/>
    <m/>
  </r>
  <r>
    <s v="22781A3392"/>
    <s v="Swathi"/>
    <x v="1"/>
    <n v="98.13"/>
    <x v="0"/>
    <n v="6.71"/>
    <x v="0"/>
    <x v="0"/>
    <x v="0"/>
    <x v="0"/>
    <x v="0"/>
    <m/>
  </r>
  <r>
    <s v="23781A3373"/>
    <s v="Suresh"/>
    <x v="4"/>
    <n v="86.99"/>
    <x v="0"/>
    <n v="7.81"/>
    <x v="1"/>
    <x v="0"/>
    <x v="0"/>
    <x v="0"/>
    <x v="0"/>
    <m/>
  </r>
  <r>
    <s v="20781A3416"/>
    <s v="Pavan"/>
    <x v="2"/>
    <n v="94.17"/>
    <x v="0"/>
    <n v="6.87"/>
    <x v="2"/>
    <x v="0"/>
    <x v="0"/>
    <x v="0"/>
    <x v="0"/>
    <m/>
  </r>
  <r>
    <s v="20781A3417"/>
    <s v="Pavan"/>
    <x v="4"/>
    <n v="74.98"/>
    <x v="0"/>
    <n v="8.76"/>
    <x v="2"/>
    <x v="0"/>
    <x v="1"/>
    <x v="0"/>
    <x v="9"/>
    <s v="No"/>
  </r>
  <r>
    <s v="22781A3393"/>
    <s v="Lakshmi"/>
    <x v="3"/>
    <n v="76.63"/>
    <x v="0"/>
    <n v="7.83"/>
    <x v="0"/>
    <x v="0"/>
    <x v="0"/>
    <x v="0"/>
    <x v="0"/>
    <m/>
  </r>
  <r>
    <s v="22781A3394"/>
    <s v="Naveen"/>
    <x v="3"/>
    <n v="93.53"/>
    <x v="0"/>
    <n v="5.43"/>
    <x v="0"/>
    <x v="0"/>
    <x v="0"/>
    <x v="0"/>
    <x v="0"/>
    <m/>
  </r>
  <r>
    <s v="21781A3404"/>
    <s v="Srinivas"/>
    <x v="2"/>
    <n v="82.39"/>
    <x v="0"/>
    <n v="5.48"/>
    <x v="3"/>
    <x v="0"/>
    <x v="0"/>
    <x v="0"/>
    <x v="0"/>
    <m/>
  </r>
  <r>
    <s v="20781A3418"/>
    <s v="Divya"/>
    <x v="4"/>
    <n v="84.22"/>
    <x v="0"/>
    <n v="8.49"/>
    <x v="2"/>
    <x v="0"/>
    <x v="0"/>
    <x v="0"/>
    <x v="0"/>
    <m/>
  </r>
  <r>
    <s v="21781A3405"/>
    <s v="Bhavya"/>
    <x v="0"/>
    <n v="66.39"/>
    <x v="0"/>
    <n v="7.8"/>
    <x v="3"/>
    <x v="0"/>
    <x v="1"/>
    <x v="0"/>
    <x v="8"/>
    <s v="No"/>
  </r>
  <r>
    <s v="22781A3395"/>
    <s v="Sindhu"/>
    <x v="5"/>
    <n v="85.83"/>
    <x v="0"/>
    <n v="7.91"/>
    <x v="0"/>
    <x v="0"/>
    <x v="0"/>
    <x v="0"/>
    <x v="0"/>
    <m/>
  </r>
  <r>
    <s v="20781A3419"/>
    <s v="Harini"/>
    <x v="0"/>
    <n v="67.010000000000005"/>
    <x v="0"/>
    <n v="8.6"/>
    <x v="2"/>
    <x v="0"/>
    <x v="1"/>
    <x v="0"/>
    <x v="2"/>
    <s v="No"/>
  </r>
  <r>
    <s v="21781A3406"/>
    <s v="Kiran"/>
    <x v="4"/>
    <n v="61.64"/>
    <x v="0"/>
    <n v="5.23"/>
    <x v="3"/>
    <x v="0"/>
    <x v="0"/>
    <x v="1"/>
    <x v="0"/>
    <m/>
  </r>
  <r>
    <s v="20781A3420"/>
    <s v="Deepika"/>
    <x v="1"/>
    <n v="72.91"/>
    <x v="0"/>
    <n v="9.31"/>
    <x v="2"/>
    <x v="0"/>
    <x v="1"/>
    <x v="0"/>
    <x v="4"/>
    <s v="Yes"/>
  </r>
  <r>
    <s v="23781A3374"/>
    <s v="Suresh"/>
    <x v="5"/>
    <n v="62.19"/>
    <x v="0"/>
    <n v="6.4"/>
    <x v="1"/>
    <x v="0"/>
    <x v="0"/>
    <x v="1"/>
    <x v="0"/>
    <m/>
  </r>
  <r>
    <s v="20781A3421"/>
    <s v="Praveen"/>
    <x v="4"/>
    <n v="77.83"/>
    <x v="0"/>
    <n v="6.38"/>
    <x v="2"/>
    <x v="0"/>
    <x v="0"/>
    <x v="0"/>
    <x v="0"/>
    <m/>
  </r>
  <r>
    <s v="22781A3396"/>
    <s v="Pavan"/>
    <x v="5"/>
    <n v="73.319999999999993"/>
    <x v="1"/>
    <n v="6.41"/>
    <x v="0"/>
    <x v="2"/>
    <x v="1"/>
    <x v="0"/>
    <x v="5"/>
    <s v="No"/>
  </r>
  <r>
    <s v="22781A3397"/>
    <s v="Divya"/>
    <x v="2"/>
    <n v="78.09"/>
    <x v="1"/>
    <n v="5.81"/>
    <x v="0"/>
    <x v="2"/>
    <x v="0"/>
    <x v="0"/>
    <x v="0"/>
    <m/>
  </r>
  <r>
    <s v="21781A3407"/>
    <s v="Lokesh"/>
    <x v="3"/>
    <n v="95.82"/>
    <x v="0"/>
    <n v="5.22"/>
    <x v="3"/>
    <x v="0"/>
    <x v="0"/>
    <x v="0"/>
    <x v="0"/>
    <m/>
  </r>
  <r>
    <s v="23781A3375"/>
    <s v="Swathi"/>
    <x v="0"/>
    <n v="75.069999999999993"/>
    <x v="0"/>
    <n v="7.95"/>
    <x v="1"/>
    <x v="0"/>
    <x v="0"/>
    <x v="0"/>
    <x v="0"/>
    <m/>
  </r>
  <r>
    <s v="22781A3398"/>
    <s v="Swathi"/>
    <x v="5"/>
    <n v="62.16"/>
    <x v="0"/>
    <n v="6.52"/>
    <x v="0"/>
    <x v="0"/>
    <x v="0"/>
    <x v="1"/>
    <x v="0"/>
    <m/>
  </r>
  <r>
    <s v="22781A3399"/>
    <s v="Sindhu"/>
    <x v="3"/>
    <n v="90.64"/>
    <x v="0"/>
    <n v="5.54"/>
    <x v="0"/>
    <x v="0"/>
    <x v="0"/>
    <x v="0"/>
    <x v="0"/>
    <m/>
  </r>
  <r>
    <s v="22781A3400"/>
    <s v="Srinivas"/>
    <x v="5"/>
    <n v="88.86"/>
    <x v="0"/>
    <n v="9.14"/>
    <x v="0"/>
    <x v="0"/>
    <x v="0"/>
    <x v="0"/>
    <x v="0"/>
    <m/>
  </r>
  <r>
    <s v="20781A3422"/>
    <s v="Chaitanya"/>
    <x v="0"/>
    <n v="64.67"/>
    <x v="0"/>
    <n v="8.98"/>
    <x v="2"/>
    <x v="0"/>
    <x v="0"/>
    <x v="1"/>
    <x v="0"/>
    <m/>
  </r>
  <r>
    <s v="21781A3408"/>
    <s v="Mahesh"/>
    <x v="4"/>
    <n v="72.540000000000006"/>
    <x v="1"/>
    <n v="9.25"/>
    <x v="3"/>
    <x v="4"/>
    <x v="1"/>
    <x v="0"/>
    <x v="5"/>
    <s v="No"/>
  </r>
  <r>
    <s v="20781A3423"/>
    <s v="Raghava"/>
    <x v="1"/>
    <n v="82.2"/>
    <x v="0"/>
    <n v="9.1199999999999992"/>
    <x v="2"/>
    <x v="0"/>
    <x v="0"/>
    <x v="0"/>
    <x v="0"/>
    <m/>
  </r>
  <r>
    <s v="21781A3409"/>
    <s v="Pavan"/>
    <x v="3"/>
    <n v="61.36"/>
    <x v="0"/>
    <n v="8.91"/>
    <x v="3"/>
    <x v="0"/>
    <x v="0"/>
    <x v="1"/>
    <x v="0"/>
    <m/>
  </r>
  <r>
    <s v="22781A3401"/>
    <s v="Rohit"/>
    <x v="2"/>
    <n v="94.11"/>
    <x v="0"/>
    <n v="9.01"/>
    <x v="0"/>
    <x v="0"/>
    <x v="0"/>
    <x v="0"/>
    <x v="0"/>
    <m/>
  </r>
  <r>
    <s v="21781A3410"/>
    <s v="Rahul"/>
    <x v="5"/>
    <n v="73.510000000000005"/>
    <x v="0"/>
    <n v="5.21"/>
    <x v="3"/>
    <x v="0"/>
    <x v="1"/>
    <x v="0"/>
    <x v="9"/>
    <s v="No"/>
  </r>
  <r>
    <s v="20781A3424"/>
    <s v="Rahul"/>
    <x v="2"/>
    <n v="92.23"/>
    <x v="0"/>
    <n v="9.61"/>
    <x v="2"/>
    <x v="0"/>
    <x v="0"/>
    <x v="0"/>
    <x v="0"/>
    <m/>
  </r>
  <r>
    <s v="23781A3376"/>
    <s v="Bhavya"/>
    <x v="4"/>
    <n v="92.28"/>
    <x v="0"/>
    <n v="9.6199999999999992"/>
    <x v="1"/>
    <x v="0"/>
    <x v="0"/>
    <x v="0"/>
    <x v="0"/>
    <m/>
  </r>
  <r>
    <s v="20781A3425"/>
    <s v="Rohit"/>
    <x v="0"/>
    <n v="90.36"/>
    <x v="0"/>
    <n v="9.06"/>
    <x v="2"/>
    <x v="0"/>
    <x v="0"/>
    <x v="0"/>
    <x v="0"/>
    <m/>
  </r>
  <r>
    <s v="22781A3402"/>
    <s v="Mahesh"/>
    <x v="1"/>
    <n v="66.260000000000005"/>
    <x v="0"/>
    <n v="8.1199999999999992"/>
    <x v="0"/>
    <x v="0"/>
    <x v="1"/>
    <x v="0"/>
    <x v="5"/>
    <s v="No"/>
  </r>
  <r>
    <s v="23781A3377"/>
    <s v="Naveen"/>
    <x v="2"/>
    <n v="85.85"/>
    <x v="0"/>
    <n v="8.3800000000000008"/>
    <x v="1"/>
    <x v="0"/>
    <x v="0"/>
    <x v="0"/>
    <x v="0"/>
    <m/>
  </r>
  <r>
    <s v="21781A3411"/>
    <s v="Keerthi"/>
    <x v="0"/>
    <n v="98.19"/>
    <x v="0"/>
    <n v="5.82"/>
    <x v="3"/>
    <x v="0"/>
    <x v="0"/>
    <x v="0"/>
    <x v="0"/>
    <m/>
  </r>
  <r>
    <s v="23781A3378"/>
    <s v="Harini"/>
    <x v="0"/>
    <n v="93.7"/>
    <x v="0"/>
    <n v="8.16"/>
    <x v="1"/>
    <x v="0"/>
    <x v="0"/>
    <x v="0"/>
    <x v="0"/>
    <m/>
  </r>
  <r>
    <s v="23781A3379"/>
    <s v="Priya"/>
    <x v="5"/>
    <n v="73.14"/>
    <x v="0"/>
    <n v="7.18"/>
    <x v="1"/>
    <x v="0"/>
    <x v="1"/>
    <x v="0"/>
    <x v="9"/>
    <s v="No"/>
  </r>
  <r>
    <s v="22781A3403"/>
    <s v="Kiran"/>
    <x v="0"/>
    <n v="87.61"/>
    <x v="0"/>
    <n v="7.76"/>
    <x v="0"/>
    <x v="0"/>
    <x v="0"/>
    <x v="0"/>
    <x v="0"/>
    <m/>
  </r>
  <r>
    <s v="23781A3380"/>
    <s v="Lakshmi"/>
    <x v="2"/>
    <n v="61.06"/>
    <x v="0"/>
    <n v="6.04"/>
    <x v="1"/>
    <x v="0"/>
    <x v="0"/>
    <x v="1"/>
    <x v="0"/>
    <m/>
  </r>
  <r>
    <s v="20781A3426"/>
    <s v="Rohit"/>
    <x v="1"/>
    <n v="67.150000000000006"/>
    <x v="0"/>
    <n v="5.29"/>
    <x v="2"/>
    <x v="0"/>
    <x v="1"/>
    <x v="0"/>
    <x v="6"/>
    <s v="No"/>
  </r>
  <r>
    <s v="21781A3412"/>
    <s v="Sumalatha"/>
    <x v="0"/>
    <n v="82.29"/>
    <x v="0"/>
    <n v="6.16"/>
    <x v="3"/>
    <x v="0"/>
    <x v="0"/>
    <x v="0"/>
    <x v="0"/>
    <m/>
  </r>
  <r>
    <s v="23781A3381"/>
    <s v="Saneeth"/>
    <x v="1"/>
    <n v="75.14"/>
    <x v="0"/>
    <n v="7.72"/>
    <x v="1"/>
    <x v="0"/>
    <x v="0"/>
    <x v="0"/>
    <x v="0"/>
    <m/>
  </r>
  <r>
    <s v="21781A3413"/>
    <s v="Tejaswini"/>
    <x v="5"/>
    <n v="61.69"/>
    <x v="0"/>
    <n v="6.29"/>
    <x v="3"/>
    <x v="0"/>
    <x v="0"/>
    <x v="1"/>
    <x v="0"/>
    <m/>
  </r>
  <r>
    <s v="21781A3414"/>
    <s v="Anjali"/>
    <x v="2"/>
    <n v="64.78"/>
    <x v="0"/>
    <n v="7.08"/>
    <x v="3"/>
    <x v="0"/>
    <x v="0"/>
    <x v="1"/>
    <x v="0"/>
    <m/>
  </r>
  <r>
    <s v="22781A3404"/>
    <s v="Vamsi"/>
    <x v="2"/>
    <n v="68.13"/>
    <x v="0"/>
    <n v="8.31"/>
    <x v="0"/>
    <x v="0"/>
    <x v="1"/>
    <x v="0"/>
    <x v="9"/>
    <s v="No"/>
  </r>
  <r>
    <s v="22781A3405"/>
    <s v="Rahul"/>
    <x v="5"/>
    <n v="99.85"/>
    <x v="1"/>
    <n v="8.82"/>
    <x v="0"/>
    <x v="2"/>
    <x v="0"/>
    <x v="0"/>
    <x v="0"/>
    <m/>
  </r>
  <r>
    <s v="20781A3427"/>
    <s v="Suresh"/>
    <x v="5"/>
    <n v="81.680000000000007"/>
    <x v="0"/>
    <n v="9.4"/>
    <x v="2"/>
    <x v="0"/>
    <x v="0"/>
    <x v="0"/>
    <x v="0"/>
    <m/>
  </r>
  <r>
    <s v="21781A3415"/>
    <s v="Pavan"/>
    <x v="4"/>
    <n v="83.01"/>
    <x v="0"/>
    <n v="5.14"/>
    <x v="3"/>
    <x v="0"/>
    <x v="0"/>
    <x v="0"/>
    <x v="0"/>
    <m/>
  </r>
  <r>
    <s v="22781A3406"/>
    <s v="Praveen"/>
    <x v="1"/>
    <n v="95.4"/>
    <x v="0"/>
    <n v="5.98"/>
    <x v="0"/>
    <x v="0"/>
    <x v="0"/>
    <x v="0"/>
    <x v="0"/>
    <m/>
  </r>
  <r>
    <s v="22781A3407"/>
    <s v="Akhila"/>
    <x v="0"/>
    <n v="76.209999999999994"/>
    <x v="0"/>
    <n v="9.31"/>
    <x v="0"/>
    <x v="0"/>
    <x v="0"/>
    <x v="0"/>
    <x v="0"/>
    <m/>
  </r>
  <r>
    <s v="21781A3416"/>
    <s v="Vamsi"/>
    <x v="0"/>
    <n v="76.64"/>
    <x v="0"/>
    <n v="7.28"/>
    <x v="3"/>
    <x v="0"/>
    <x v="0"/>
    <x v="0"/>
    <x v="0"/>
    <m/>
  </r>
  <r>
    <s v="20781A3428"/>
    <s v="Kiran"/>
    <x v="5"/>
    <n v="80.58"/>
    <x v="0"/>
    <n v="9.58"/>
    <x v="2"/>
    <x v="0"/>
    <x v="0"/>
    <x v="0"/>
    <x v="0"/>
    <m/>
  </r>
  <r>
    <s v="20781A3429"/>
    <s v="Saneeth"/>
    <x v="1"/>
    <n v="70.48"/>
    <x v="0"/>
    <n v="9.52"/>
    <x v="2"/>
    <x v="0"/>
    <x v="1"/>
    <x v="0"/>
    <x v="9"/>
    <s v="No"/>
  </r>
  <r>
    <s v="20781A3430"/>
    <s v="Harini"/>
    <x v="3"/>
    <n v="65.95"/>
    <x v="1"/>
    <n v="7.93"/>
    <x v="2"/>
    <x v="3"/>
    <x v="1"/>
    <x v="0"/>
    <x v="4"/>
    <s v="Yes"/>
  </r>
  <r>
    <s v="22781A3408"/>
    <s v="Manoj"/>
    <x v="2"/>
    <n v="96.12"/>
    <x v="0"/>
    <n v="7.86"/>
    <x v="0"/>
    <x v="0"/>
    <x v="0"/>
    <x v="0"/>
    <x v="0"/>
    <m/>
  </r>
  <r>
    <s v="22781A3409"/>
    <s v="Akhila"/>
    <x v="5"/>
    <n v="96.58"/>
    <x v="0"/>
    <n v="7.36"/>
    <x v="0"/>
    <x v="0"/>
    <x v="0"/>
    <x v="0"/>
    <x v="0"/>
    <m/>
  </r>
  <r>
    <s v="21781A3417"/>
    <s v="Rahul"/>
    <x v="0"/>
    <n v="71.67"/>
    <x v="0"/>
    <n v="5.56"/>
    <x v="3"/>
    <x v="0"/>
    <x v="1"/>
    <x v="0"/>
    <x v="5"/>
    <s v="No"/>
  </r>
  <r>
    <s v="23781A3382"/>
    <s v="Raghava"/>
    <x v="4"/>
    <n v="71.290000000000006"/>
    <x v="0"/>
    <n v="5.47"/>
    <x v="1"/>
    <x v="0"/>
    <x v="1"/>
    <x v="0"/>
    <x v="8"/>
    <s v="No"/>
  </r>
  <r>
    <s v="21781A3418"/>
    <s v="Lokesh"/>
    <x v="0"/>
    <n v="86.29"/>
    <x v="0"/>
    <n v="6.33"/>
    <x v="3"/>
    <x v="0"/>
    <x v="0"/>
    <x v="0"/>
    <x v="0"/>
    <m/>
  </r>
  <r>
    <s v="22781A3410"/>
    <s v="Nikhil"/>
    <x v="4"/>
    <n v="71.39"/>
    <x v="0"/>
    <n v="8.17"/>
    <x v="0"/>
    <x v="0"/>
    <x v="1"/>
    <x v="0"/>
    <x v="2"/>
    <s v="No"/>
  </r>
  <r>
    <s v="20781A3431"/>
    <s v="Rohit"/>
    <x v="0"/>
    <n v="68.31"/>
    <x v="0"/>
    <n v="9.25"/>
    <x v="2"/>
    <x v="0"/>
    <x v="1"/>
    <x v="0"/>
    <x v="9"/>
    <s v="No"/>
  </r>
  <r>
    <s v="22781A3411"/>
    <s v="Sumalatha"/>
    <x v="4"/>
    <n v="90.86"/>
    <x v="0"/>
    <n v="8.36"/>
    <x v="0"/>
    <x v="0"/>
    <x v="0"/>
    <x v="0"/>
    <x v="0"/>
    <m/>
  </r>
  <r>
    <s v="23781A3383"/>
    <s v="Nikhil"/>
    <x v="3"/>
    <n v="61.22"/>
    <x v="0"/>
    <n v="8.1999999999999993"/>
    <x v="1"/>
    <x v="0"/>
    <x v="0"/>
    <x v="1"/>
    <x v="0"/>
    <m/>
  </r>
  <r>
    <s v="20781A3432"/>
    <s v="Rohit"/>
    <x v="0"/>
    <n v="71.53"/>
    <x v="0"/>
    <n v="8.92"/>
    <x v="2"/>
    <x v="0"/>
    <x v="1"/>
    <x v="0"/>
    <x v="6"/>
    <s v="No"/>
  </r>
  <r>
    <s v="20781A3433"/>
    <s v="Kavya"/>
    <x v="2"/>
    <n v="60.23"/>
    <x v="0"/>
    <n v="5.76"/>
    <x v="2"/>
    <x v="0"/>
    <x v="0"/>
    <x v="1"/>
    <x v="0"/>
    <m/>
  </r>
  <r>
    <s v="22781A3412"/>
    <s v="Akhila"/>
    <x v="5"/>
    <n v="66.790000000000006"/>
    <x v="0"/>
    <n v="8.15"/>
    <x v="0"/>
    <x v="0"/>
    <x v="1"/>
    <x v="0"/>
    <x v="8"/>
    <s v="Yes"/>
  </r>
  <r>
    <s v="22781A3413"/>
    <s v="Pavan"/>
    <x v="3"/>
    <n v="83.22"/>
    <x v="0"/>
    <n v="5.57"/>
    <x v="0"/>
    <x v="0"/>
    <x v="0"/>
    <x v="0"/>
    <x v="0"/>
    <m/>
  </r>
  <r>
    <s v="20781A3434"/>
    <s v="Nikhil"/>
    <x v="0"/>
    <n v="96.29"/>
    <x v="0"/>
    <n v="5.66"/>
    <x v="2"/>
    <x v="0"/>
    <x v="0"/>
    <x v="0"/>
    <x v="0"/>
    <m/>
  </r>
  <r>
    <s v="22781A3414"/>
    <s v="Raghava"/>
    <x v="3"/>
    <n v="73.83"/>
    <x v="1"/>
    <n v="8.0299999999999994"/>
    <x v="0"/>
    <x v="2"/>
    <x v="1"/>
    <x v="0"/>
    <x v="9"/>
    <s v="No"/>
  </r>
  <r>
    <s v="21781A3419"/>
    <s v="Lakshmi"/>
    <x v="1"/>
    <n v="64.12"/>
    <x v="0"/>
    <n v="5.97"/>
    <x v="3"/>
    <x v="0"/>
    <x v="0"/>
    <x v="1"/>
    <x v="0"/>
    <m/>
  </r>
  <r>
    <s v="20781A3435"/>
    <s v="Kiran"/>
    <x v="4"/>
    <n v="97.7"/>
    <x v="0"/>
    <n v="9.65"/>
    <x v="2"/>
    <x v="0"/>
    <x v="0"/>
    <x v="0"/>
    <x v="0"/>
    <m/>
  </r>
  <r>
    <s v="23781A3384"/>
    <s v="Tejaswini"/>
    <x v="0"/>
    <n v="60.81"/>
    <x v="0"/>
    <n v="5.87"/>
    <x v="1"/>
    <x v="0"/>
    <x v="0"/>
    <x v="1"/>
    <x v="0"/>
    <m/>
  </r>
  <r>
    <s v="22781A3415"/>
    <s v="Rahul"/>
    <x v="2"/>
    <n v="72.56"/>
    <x v="1"/>
    <n v="8.6"/>
    <x v="0"/>
    <x v="2"/>
    <x v="1"/>
    <x v="0"/>
    <x v="5"/>
    <s v="Yes"/>
  </r>
  <r>
    <s v="20781A3436"/>
    <s v="Kiran"/>
    <x v="1"/>
    <n v="71.55"/>
    <x v="0"/>
    <n v="9.01"/>
    <x v="2"/>
    <x v="0"/>
    <x v="1"/>
    <x v="0"/>
    <x v="8"/>
    <s v="No"/>
  </r>
  <r>
    <s v="23781A3385"/>
    <s v="Kiran"/>
    <x v="2"/>
    <n v="74.099999999999994"/>
    <x v="0"/>
    <n v="9.18"/>
    <x v="1"/>
    <x v="0"/>
    <x v="1"/>
    <x v="0"/>
    <x v="1"/>
    <s v="No"/>
  </r>
  <r>
    <s v="22781A3416"/>
    <s v="Harini"/>
    <x v="3"/>
    <n v="73.03"/>
    <x v="0"/>
    <n v="7.11"/>
    <x v="0"/>
    <x v="0"/>
    <x v="1"/>
    <x v="0"/>
    <x v="2"/>
    <s v="Yes"/>
  </r>
  <r>
    <s v="20781A3437"/>
    <s v="Anjali"/>
    <x v="4"/>
    <n v="88.12"/>
    <x v="1"/>
    <n v="5.36"/>
    <x v="2"/>
    <x v="3"/>
    <x v="0"/>
    <x v="0"/>
    <x v="0"/>
    <m/>
  </r>
  <r>
    <s v="21781A3420"/>
    <s v="Sindhu"/>
    <x v="4"/>
    <n v="90.62"/>
    <x v="0"/>
    <n v="8.1199999999999992"/>
    <x v="3"/>
    <x v="0"/>
    <x v="0"/>
    <x v="0"/>
    <x v="0"/>
    <m/>
  </r>
  <r>
    <s v="21781A3421"/>
    <s v="Sindhu"/>
    <x v="3"/>
    <n v="83.4"/>
    <x v="0"/>
    <n v="9.43"/>
    <x v="3"/>
    <x v="0"/>
    <x v="0"/>
    <x v="0"/>
    <x v="0"/>
    <m/>
  </r>
  <r>
    <s v="20781A3438"/>
    <s v="Sumalatha"/>
    <x v="2"/>
    <n v="65.739999999999995"/>
    <x v="0"/>
    <n v="6.2"/>
    <x v="2"/>
    <x v="0"/>
    <x v="1"/>
    <x v="0"/>
    <x v="6"/>
    <s v="No"/>
  </r>
  <r>
    <s v="23781A3386"/>
    <s v="Praveen"/>
    <x v="3"/>
    <n v="77.12"/>
    <x v="0"/>
    <n v="9.7899999999999991"/>
    <x v="1"/>
    <x v="0"/>
    <x v="0"/>
    <x v="0"/>
    <x v="0"/>
    <m/>
  </r>
  <r>
    <s v="22781A3417"/>
    <s v="Tejaswini"/>
    <x v="5"/>
    <n v="98.9"/>
    <x v="1"/>
    <n v="7.94"/>
    <x v="0"/>
    <x v="2"/>
    <x v="0"/>
    <x v="0"/>
    <x v="0"/>
    <m/>
  </r>
  <r>
    <s v="20781A3439"/>
    <s v="Vamsi"/>
    <x v="4"/>
    <n v="60.7"/>
    <x v="0"/>
    <n v="7.41"/>
    <x v="2"/>
    <x v="0"/>
    <x v="0"/>
    <x v="1"/>
    <x v="0"/>
    <m/>
  </r>
  <r>
    <s v="23781A3387"/>
    <s v="Manoj"/>
    <x v="4"/>
    <n v="73.739999999999995"/>
    <x v="0"/>
    <n v="5.9"/>
    <x v="1"/>
    <x v="0"/>
    <x v="1"/>
    <x v="0"/>
    <x v="2"/>
    <s v="No"/>
  </r>
  <r>
    <s v="23781A3388"/>
    <s v="Rohit"/>
    <x v="1"/>
    <n v="60.33"/>
    <x v="0"/>
    <n v="6.22"/>
    <x v="1"/>
    <x v="0"/>
    <x v="0"/>
    <x v="1"/>
    <x v="0"/>
    <m/>
  </r>
  <r>
    <s v="21781A3422"/>
    <s v="Nikhil"/>
    <x v="3"/>
    <n v="99.02"/>
    <x v="0"/>
    <n v="5"/>
    <x v="3"/>
    <x v="0"/>
    <x v="0"/>
    <x v="0"/>
    <x v="0"/>
    <m/>
  </r>
  <r>
    <s v="23781A3389"/>
    <s v="Priya"/>
    <x v="0"/>
    <n v="98.29"/>
    <x v="0"/>
    <n v="5.75"/>
    <x v="1"/>
    <x v="0"/>
    <x v="0"/>
    <x v="0"/>
    <x v="0"/>
    <m/>
  </r>
  <r>
    <s v="21781A3423"/>
    <s v="Raghava"/>
    <x v="4"/>
    <n v="63.01"/>
    <x v="1"/>
    <n v="8.01"/>
    <x v="3"/>
    <x v="4"/>
    <x v="0"/>
    <x v="1"/>
    <x v="0"/>
    <m/>
  </r>
  <r>
    <s v="20781A3440"/>
    <s v="Suresh"/>
    <x v="2"/>
    <n v="94.14"/>
    <x v="1"/>
    <n v="8.23"/>
    <x v="2"/>
    <x v="3"/>
    <x v="0"/>
    <x v="0"/>
    <x v="0"/>
    <m/>
  </r>
  <r>
    <s v="22781A3418"/>
    <s v="Saneeth"/>
    <x v="5"/>
    <n v="85.02"/>
    <x v="0"/>
    <n v="8.6"/>
    <x v="0"/>
    <x v="0"/>
    <x v="0"/>
    <x v="0"/>
    <x v="0"/>
    <m/>
  </r>
  <r>
    <s v="23781A3390"/>
    <s v="Lakshmi"/>
    <x v="5"/>
    <n v="62.45"/>
    <x v="0"/>
    <n v="6.69"/>
    <x v="1"/>
    <x v="0"/>
    <x v="0"/>
    <x v="1"/>
    <x v="0"/>
    <m/>
  </r>
  <r>
    <s v="22781A3419"/>
    <s v="Chaitanya"/>
    <x v="5"/>
    <n v="66.38"/>
    <x v="1"/>
    <n v="6.78"/>
    <x v="0"/>
    <x v="2"/>
    <x v="1"/>
    <x v="0"/>
    <x v="2"/>
    <s v="No"/>
  </r>
  <r>
    <s v="20781A3441"/>
    <s v="Praveen"/>
    <x v="4"/>
    <n v="78.569999999999993"/>
    <x v="0"/>
    <n v="6.07"/>
    <x v="2"/>
    <x v="0"/>
    <x v="0"/>
    <x v="0"/>
    <x v="0"/>
    <m/>
  </r>
  <r>
    <s v="22781A3420"/>
    <s v="Praveen"/>
    <x v="1"/>
    <n v="73.66"/>
    <x v="1"/>
    <n v="5.28"/>
    <x v="0"/>
    <x v="2"/>
    <x v="1"/>
    <x v="0"/>
    <x v="4"/>
    <s v="No"/>
  </r>
  <r>
    <s v="21781A3424"/>
    <s v="Rohit"/>
    <x v="2"/>
    <n v="99.61"/>
    <x v="0"/>
    <n v="9.24"/>
    <x v="3"/>
    <x v="0"/>
    <x v="0"/>
    <x v="0"/>
    <x v="0"/>
    <m/>
  </r>
  <r>
    <s v="23781A3391"/>
    <s v="Suresh"/>
    <x v="0"/>
    <n v="91.54"/>
    <x v="0"/>
    <n v="7.36"/>
    <x v="1"/>
    <x v="0"/>
    <x v="0"/>
    <x v="0"/>
    <x v="0"/>
    <m/>
  </r>
  <r>
    <s v="20781A3442"/>
    <s v="Mahesh"/>
    <x v="3"/>
    <n v="79.930000000000007"/>
    <x v="0"/>
    <n v="8.92"/>
    <x v="2"/>
    <x v="0"/>
    <x v="0"/>
    <x v="0"/>
    <x v="0"/>
    <m/>
  </r>
  <r>
    <s v="21781A3425"/>
    <s v="Kavya"/>
    <x v="4"/>
    <n v="68.930000000000007"/>
    <x v="0"/>
    <n v="5.17"/>
    <x v="3"/>
    <x v="0"/>
    <x v="1"/>
    <x v="0"/>
    <x v="8"/>
    <s v="No"/>
  </r>
  <r>
    <s v="22781A3421"/>
    <s v="Sumalatha"/>
    <x v="0"/>
    <n v="83.93"/>
    <x v="0"/>
    <n v="8.8699999999999992"/>
    <x v="0"/>
    <x v="0"/>
    <x v="0"/>
    <x v="0"/>
    <x v="0"/>
    <m/>
  </r>
  <r>
    <s v="23781A3392"/>
    <s v="Mahesh"/>
    <x v="0"/>
    <n v="85.67"/>
    <x v="0"/>
    <n v="8.58"/>
    <x v="1"/>
    <x v="0"/>
    <x v="0"/>
    <x v="0"/>
    <x v="0"/>
    <m/>
  </r>
  <r>
    <s v="21781A3426"/>
    <s v="Praveen"/>
    <x v="1"/>
    <n v="84.85"/>
    <x v="0"/>
    <n v="5.99"/>
    <x v="3"/>
    <x v="0"/>
    <x v="0"/>
    <x v="0"/>
    <x v="0"/>
    <m/>
  </r>
  <r>
    <s v="20781A3443"/>
    <s v="Manoj"/>
    <x v="5"/>
    <n v="95"/>
    <x v="0"/>
    <n v="6.78"/>
    <x v="2"/>
    <x v="0"/>
    <x v="0"/>
    <x v="0"/>
    <x v="0"/>
    <m/>
  </r>
  <r>
    <s v="20781A3444"/>
    <s v="Priya"/>
    <x v="2"/>
    <n v="88.31"/>
    <x v="0"/>
    <n v="8.6999999999999993"/>
    <x v="2"/>
    <x v="0"/>
    <x v="0"/>
    <x v="0"/>
    <x v="0"/>
    <m/>
  </r>
  <r>
    <s v="21781A3427"/>
    <s v="Deepika"/>
    <x v="0"/>
    <n v="84.37"/>
    <x v="0"/>
    <n v="8.5299999999999994"/>
    <x v="3"/>
    <x v="0"/>
    <x v="0"/>
    <x v="0"/>
    <x v="0"/>
    <m/>
  </r>
  <r>
    <s v="21781A3428"/>
    <s v="Saneeth"/>
    <x v="4"/>
    <n v="95.44"/>
    <x v="0"/>
    <n v="5.72"/>
    <x v="3"/>
    <x v="0"/>
    <x v="0"/>
    <x v="0"/>
    <x v="0"/>
    <m/>
  </r>
  <r>
    <s v="23781A3393"/>
    <s v="Rohit"/>
    <x v="3"/>
    <n v="68.23"/>
    <x v="1"/>
    <n v="5.98"/>
    <x v="1"/>
    <x v="1"/>
    <x v="1"/>
    <x v="0"/>
    <x v="8"/>
    <s v="No"/>
  </r>
  <r>
    <s v="21781A3429"/>
    <s v="Swathi"/>
    <x v="1"/>
    <n v="73.239999999999995"/>
    <x v="0"/>
    <n v="8.77"/>
    <x v="3"/>
    <x v="0"/>
    <x v="1"/>
    <x v="0"/>
    <x v="1"/>
    <s v="No"/>
  </r>
  <r>
    <s v="20781A3445"/>
    <s v="Lakshmi"/>
    <x v="5"/>
    <n v="72.040000000000006"/>
    <x v="0"/>
    <n v="6.29"/>
    <x v="2"/>
    <x v="0"/>
    <x v="1"/>
    <x v="0"/>
    <x v="2"/>
    <s v="No"/>
  </r>
  <r>
    <s v="22781A3422"/>
    <s v="Manoj"/>
    <x v="2"/>
    <n v="61.57"/>
    <x v="0"/>
    <n v="5.82"/>
    <x v="0"/>
    <x v="0"/>
    <x v="0"/>
    <x v="1"/>
    <x v="0"/>
    <m/>
  </r>
  <r>
    <s v="20781A3446"/>
    <s v="Anjali"/>
    <x v="2"/>
    <n v="95.76"/>
    <x v="0"/>
    <n v="8.64"/>
    <x v="2"/>
    <x v="0"/>
    <x v="0"/>
    <x v="0"/>
    <x v="0"/>
    <m/>
  </r>
  <r>
    <s v="23781A3394"/>
    <s v="Keerthi"/>
    <x v="4"/>
    <n v="90.49"/>
    <x v="0"/>
    <n v="9.18"/>
    <x v="1"/>
    <x v="0"/>
    <x v="0"/>
    <x v="0"/>
    <x v="0"/>
    <m/>
  </r>
  <r>
    <s v="22781A3423"/>
    <s v="Divya"/>
    <x v="5"/>
    <n v="99.53"/>
    <x v="0"/>
    <n v="8.3699999999999992"/>
    <x v="0"/>
    <x v="0"/>
    <x v="0"/>
    <x v="0"/>
    <x v="0"/>
    <m/>
  </r>
  <r>
    <s v="21781A3430"/>
    <s v="Swathi"/>
    <x v="2"/>
    <n v="62.66"/>
    <x v="0"/>
    <n v="6.81"/>
    <x v="3"/>
    <x v="0"/>
    <x v="0"/>
    <x v="1"/>
    <x v="0"/>
    <m/>
  </r>
  <r>
    <s v="21781A3431"/>
    <s v="Priya"/>
    <x v="0"/>
    <n v="99.72"/>
    <x v="0"/>
    <n v="7.36"/>
    <x v="3"/>
    <x v="0"/>
    <x v="0"/>
    <x v="0"/>
    <x v="0"/>
    <m/>
  </r>
  <r>
    <s v="23781A3395"/>
    <s v="Saneeth"/>
    <x v="0"/>
    <n v="89.01"/>
    <x v="0"/>
    <n v="5.37"/>
    <x v="1"/>
    <x v="0"/>
    <x v="0"/>
    <x v="0"/>
    <x v="0"/>
    <m/>
  </r>
  <r>
    <s v="21781A3432"/>
    <s v="Sindhu"/>
    <x v="0"/>
    <n v="88.93"/>
    <x v="0"/>
    <n v="7.36"/>
    <x v="3"/>
    <x v="0"/>
    <x v="0"/>
    <x v="0"/>
    <x v="0"/>
    <m/>
  </r>
  <r>
    <s v="22781A3424"/>
    <s v="Suresh"/>
    <x v="1"/>
    <n v="78.62"/>
    <x v="0"/>
    <n v="8.4499999999999993"/>
    <x v="0"/>
    <x v="0"/>
    <x v="0"/>
    <x v="0"/>
    <x v="0"/>
    <m/>
  </r>
  <r>
    <s v="23781A3396"/>
    <s v="Manoj"/>
    <x v="4"/>
    <n v="77.91"/>
    <x v="0"/>
    <n v="8.32"/>
    <x v="1"/>
    <x v="0"/>
    <x v="0"/>
    <x v="0"/>
    <x v="0"/>
    <m/>
  </r>
  <r>
    <s v="23781A3397"/>
    <s v="Suresh"/>
    <x v="1"/>
    <n v="62.23"/>
    <x v="0"/>
    <n v="5.32"/>
    <x v="1"/>
    <x v="0"/>
    <x v="0"/>
    <x v="1"/>
    <x v="0"/>
    <m/>
  </r>
  <r>
    <s v="22781A3425"/>
    <s v="Lakshmi"/>
    <x v="1"/>
    <n v="78.13"/>
    <x v="1"/>
    <n v="7.51"/>
    <x v="0"/>
    <x v="2"/>
    <x v="0"/>
    <x v="0"/>
    <x v="0"/>
    <m/>
  </r>
  <r>
    <s v="23781A3398"/>
    <s v="Kiran"/>
    <x v="2"/>
    <n v="75.17"/>
    <x v="0"/>
    <n v="8.3000000000000007"/>
    <x v="1"/>
    <x v="0"/>
    <x v="0"/>
    <x v="0"/>
    <x v="0"/>
    <m/>
  </r>
  <r>
    <s v="22781A3426"/>
    <s v="Akhila"/>
    <x v="2"/>
    <n v="80.39"/>
    <x v="0"/>
    <n v="5.78"/>
    <x v="0"/>
    <x v="0"/>
    <x v="0"/>
    <x v="0"/>
    <x v="0"/>
    <m/>
  </r>
  <r>
    <s v="20781A3447"/>
    <s v="Anjali"/>
    <x v="2"/>
    <n v="99.89"/>
    <x v="0"/>
    <n v="6.64"/>
    <x v="2"/>
    <x v="0"/>
    <x v="0"/>
    <x v="0"/>
    <x v="0"/>
    <m/>
  </r>
  <r>
    <s v="22781A3427"/>
    <s v="Akhila"/>
    <x v="4"/>
    <n v="73.260000000000005"/>
    <x v="0"/>
    <n v="6.67"/>
    <x v="0"/>
    <x v="0"/>
    <x v="1"/>
    <x v="0"/>
    <x v="2"/>
    <s v="No"/>
  </r>
  <r>
    <s v="20781A3448"/>
    <s v="Swathi"/>
    <x v="2"/>
    <n v="70.92"/>
    <x v="0"/>
    <n v="9.32"/>
    <x v="2"/>
    <x v="0"/>
    <x v="1"/>
    <x v="0"/>
    <x v="9"/>
    <s v="No"/>
  </r>
  <r>
    <s v="23781A3399"/>
    <s v="Rohit"/>
    <x v="1"/>
    <n v="73.28"/>
    <x v="0"/>
    <n v="9.49"/>
    <x v="1"/>
    <x v="0"/>
    <x v="1"/>
    <x v="0"/>
    <x v="4"/>
    <s v="No"/>
  </r>
  <r>
    <s v="23781A3400"/>
    <s v="Rohit"/>
    <x v="1"/>
    <n v="62.7"/>
    <x v="0"/>
    <n v="9.1300000000000008"/>
    <x v="1"/>
    <x v="0"/>
    <x v="0"/>
    <x v="1"/>
    <x v="0"/>
    <m/>
  </r>
  <r>
    <s v="21781A3433"/>
    <s v="Deepika"/>
    <x v="2"/>
    <n v="96.37"/>
    <x v="0"/>
    <n v="5.17"/>
    <x v="3"/>
    <x v="0"/>
    <x v="0"/>
    <x v="0"/>
    <x v="0"/>
    <m/>
  </r>
  <r>
    <s v="21781A3434"/>
    <s v="Keerthi"/>
    <x v="3"/>
    <n v="91.21"/>
    <x v="0"/>
    <n v="7.6"/>
    <x v="3"/>
    <x v="0"/>
    <x v="0"/>
    <x v="0"/>
    <x v="0"/>
    <m/>
  </r>
  <r>
    <s v="22781A3428"/>
    <s v="Rahul"/>
    <x v="3"/>
    <n v="85.14"/>
    <x v="1"/>
    <n v="5.5"/>
    <x v="0"/>
    <x v="2"/>
    <x v="0"/>
    <x v="0"/>
    <x v="0"/>
    <m/>
  </r>
  <r>
    <s v="22781A3429"/>
    <s v="Naveen"/>
    <x v="2"/>
    <n v="62.1"/>
    <x v="0"/>
    <n v="5.54"/>
    <x v="0"/>
    <x v="0"/>
    <x v="0"/>
    <x v="1"/>
    <x v="0"/>
    <m/>
  </r>
  <r>
    <s v="23781A3401"/>
    <s v="Praveen"/>
    <x v="1"/>
    <n v="65.7"/>
    <x v="0"/>
    <n v="7.17"/>
    <x v="1"/>
    <x v="0"/>
    <x v="1"/>
    <x v="0"/>
    <x v="2"/>
    <s v="No"/>
  </r>
  <r>
    <s v="23781A3402"/>
    <s v="Raghava"/>
    <x v="2"/>
    <n v="65.290000000000006"/>
    <x v="0"/>
    <n v="9.52"/>
    <x v="1"/>
    <x v="0"/>
    <x v="1"/>
    <x v="0"/>
    <x v="9"/>
    <s v="No"/>
  </r>
  <r>
    <s v="20781A3449"/>
    <s v="Lakshmi"/>
    <x v="1"/>
    <n v="63.1"/>
    <x v="0"/>
    <n v="7.3"/>
    <x v="2"/>
    <x v="0"/>
    <x v="0"/>
    <x v="1"/>
    <x v="0"/>
    <m/>
  </r>
  <r>
    <s v="23781A3403"/>
    <s v="Praveen"/>
    <x v="4"/>
    <n v="91.88"/>
    <x v="0"/>
    <n v="9.34"/>
    <x v="1"/>
    <x v="0"/>
    <x v="0"/>
    <x v="0"/>
    <x v="0"/>
    <m/>
  </r>
  <r>
    <s v="21781A3435"/>
    <s v="Rohit"/>
    <x v="2"/>
    <n v="75.37"/>
    <x v="0"/>
    <n v="6.21"/>
    <x v="3"/>
    <x v="0"/>
    <x v="0"/>
    <x v="0"/>
    <x v="0"/>
    <m/>
  </r>
  <r>
    <s v="22781A3430"/>
    <s v="Mahesh"/>
    <x v="2"/>
    <n v="69.48"/>
    <x v="0"/>
    <n v="7.11"/>
    <x v="0"/>
    <x v="0"/>
    <x v="1"/>
    <x v="0"/>
    <x v="5"/>
    <s v="No"/>
  </r>
  <r>
    <s v="22781A3431"/>
    <s v="Kavya"/>
    <x v="3"/>
    <n v="66.73"/>
    <x v="0"/>
    <n v="8.0500000000000007"/>
    <x v="0"/>
    <x v="0"/>
    <x v="1"/>
    <x v="0"/>
    <x v="8"/>
    <s v="No"/>
  </r>
  <r>
    <s v="21781A3436"/>
    <s v="Manoj"/>
    <x v="3"/>
    <n v="69.819999999999993"/>
    <x v="0"/>
    <n v="8.1999999999999993"/>
    <x v="3"/>
    <x v="0"/>
    <x v="1"/>
    <x v="0"/>
    <x v="1"/>
    <s v="No"/>
  </r>
  <r>
    <s v="23781A3404"/>
    <s v="Sumalatha"/>
    <x v="1"/>
    <n v="61.35"/>
    <x v="0"/>
    <n v="8.85"/>
    <x v="1"/>
    <x v="0"/>
    <x v="0"/>
    <x v="1"/>
    <x v="0"/>
    <m/>
  </r>
  <r>
    <s v="23781A3405"/>
    <s v="Mahesh"/>
    <x v="0"/>
    <n v="90.4"/>
    <x v="0"/>
    <n v="6.63"/>
    <x v="1"/>
    <x v="0"/>
    <x v="0"/>
    <x v="0"/>
    <x v="0"/>
    <m/>
  </r>
  <r>
    <s v="21781A3437"/>
    <s v="Pavan"/>
    <x v="4"/>
    <n v="90.87"/>
    <x v="0"/>
    <n v="6.63"/>
    <x v="3"/>
    <x v="0"/>
    <x v="0"/>
    <x v="0"/>
    <x v="0"/>
    <m/>
  </r>
  <r>
    <s v="20781A3450"/>
    <s v="Lokesh"/>
    <x v="5"/>
    <n v="91.73"/>
    <x v="0"/>
    <n v="8.32"/>
    <x v="2"/>
    <x v="0"/>
    <x v="0"/>
    <x v="0"/>
    <x v="0"/>
    <m/>
  </r>
  <r>
    <s v="23781A3406"/>
    <s v="Raghava"/>
    <x v="2"/>
    <n v="61.35"/>
    <x v="0"/>
    <n v="6.01"/>
    <x v="1"/>
    <x v="0"/>
    <x v="0"/>
    <x v="1"/>
    <x v="0"/>
    <m/>
  </r>
  <r>
    <s v="22781A3432"/>
    <s v="Naveen"/>
    <x v="1"/>
    <n v="91.99"/>
    <x v="0"/>
    <n v="8.91"/>
    <x v="0"/>
    <x v="0"/>
    <x v="0"/>
    <x v="0"/>
    <x v="0"/>
    <m/>
  </r>
  <r>
    <s v="20781A3451"/>
    <s v="Saneeth"/>
    <x v="1"/>
    <n v="93.84"/>
    <x v="0"/>
    <n v="8.86"/>
    <x v="2"/>
    <x v="0"/>
    <x v="0"/>
    <x v="0"/>
    <x v="0"/>
    <m/>
  </r>
  <r>
    <s v="21781A3438"/>
    <s v="Deepika"/>
    <x v="0"/>
    <n v="95.95"/>
    <x v="0"/>
    <n v="5.37"/>
    <x v="3"/>
    <x v="0"/>
    <x v="0"/>
    <x v="0"/>
    <x v="0"/>
    <m/>
  </r>
  <r>
    <s v="22781A3433"/>
    <s v="Lakshmi"/>
    <x v="1"/>
    <n v="81.66"/>
    <x v="0"/>
    <n v="8.36"/>
    <x v="0"/>
    <x v="0"/>
    <x v="0"/>
    <x v="0"/>
    <x v="0"/>
    <m/>
  </r>
  <r>
    <s v="20781A3452"/>
    <s v="Tejaswini"/>
    <x v="1"/>
    <n v="85.47"/>
    <x v="0"/>
    <n v="5.97"/>
    <x v="2"/>
    <x v="0"/>
    <x v="0"/>
    <x v="0"/>
    <x v="0"/>
    <m/>
  </r>
  <r>
    <s v="23781A3407"/>
    <s v="Divya"/>
    <x v="5"/>
    <n v="81.16"/>
    <x v="0"/>
    <n v="8.92"/>
    <x v="1"/>
    <x v="0"/>
    <x v="0"/>
    <x v="0"/>
    <x v="0"/>
    <m/>
  </r>
  <r>
    <s v="21781A3439"/>
    <s v="Akhila"/>
    <x v="2"/>
    <n v="64.33"/>
    <x v="1"/>
    <n v="5.22"/>
    <x v="3"/>
    <x v="4"/>
    <x v="0"/>
    <x v="1"/>
    <x v="0"/>
    <m/>
  </r>
  <r>
    <s v="22781A3434"/>
    <s v="Rohit"/>
    <x v="1"/>
    <n v="97.76"/>
    <x v="0"/>
    <n v="6.43"/>
    <x v="0"/>
    <x v="0"/>
    <x v="0"/>
    <x v="0"/>
    <x v="0"/>
    <m/>
  </r>
  <r>
    <s v="20781A3453"/>
    <s v="Raghava"/>
    <x v="2"/>
    <n v="71.430000000000007"/>
    <x v="0"/>
    <n v="8.98"/>
    <x v="2"/>
    <x v="0"/>
    <x v="1"/>
    <x v="0"/>
    <x v="5"/>
    <s v="No"/>
  </r>
  <r>
    <s v="20781A3454"/>
    <s v="Praveen"/>
    <x v="1"/>
    <n v="63.76"/>
    <x v="1"/>
    <n v="6.13"/>
    <x v="2"/>
    <x v="3"/>
    <x v="0"/>
    <x v="1"/>
    <x v="0"/>
    <m/>
  </r>
  <r>
    <s v="23781A3408"/>
    <s v="Naveen"/>
    <x v="5"/>
    <n v="74.67"/>
    <x v="0"/>
    <n v="5.81"/>
    <x v="1"/>
    <x v="0"/>
    <x v="1"/>
    <x v="0"/>
    <x v="1"/>
    <s v="Yes"/>
  </r>
  <r>
    <s v="23781A3409"/>
    <s v="Pavan"/>
    <x v="1"/>
    <n v="96.72"/>
    <x v="0"/>
    <n v="6.72"/>
    <x v="1"/>
    <x v="0"/>
    <x v="0"/>
    <x v="0"/>
    <x v="0"/>
    <m/>
  </r>
  <r>
    <s v="23781A3410"/>
    <s v="Kiran"/>
    <x v="0"/>
    <n v="97.85"/>
    <x v="1"/>
    <n v="6.59"/>
    <x v="1"/>
    <x v="1"/>
    <x v="0"/>
    <x v="0"/>
    <x v="0"/>
    <m/>
  </r>
  <r>
    <s v="21781A3440"/>
    <s v="Rahul"/>
    <x v="1"/>
    <n v="65.510000000000005"/>
    <x v="0"/>
    <n v="6.7"/>
    <x v="3"/>
    <x v="0"/>
    <x v="1"/>
    <x v="0"/>
    <x v="4"/>
    <s v="No"/>
  </r>
  <r>
    <s v="20781A3455"/>
    <s v="Kiran"/>
    <x v="0"/>
    <n v="87.59"/>
    <x v="1"/>
    <n v="7.19"/>
    <x v="2"/>
    <x v="3"/>
    <x v="0"/>
    <x v="0"/>
    <x v="0"/>
    <m/>
  </r>
  <r>
    <s v="22781A3435"/>
    <s v="Swathi"/>
    <x v="0"/>
    <n v="97.32"/>
    <x v="0"/>
    <n v="7.96"/>
    <x v="0"/>
    <x v="0"/>
    <x v="0"/>
    <x v="0"/>
    <x v="0"/>
    <m/>
  </r>
  <r>
    <s v="21781A3441"/>
    <s v="Divya"/>
    <x v="2"/>
    <n v="91.66"/>
    <x v="0"/>
    <n v="9.14"/>
    <x v="3"/>
    <x v="0"/>
    <x v="0"/>
    <x v="0"/>
    <x v="0"/>
    <m/>
  </r>
  <r>
    <s v="22781A3436"/>
    <s v="Sindhu"/>
    <x v="2"/>
    <n v="85.69"/>
    <x v="0"/>
    <n v="6.14"/>
    <x v="0"/>
    <x v="0"/>
    <x v="0"/>
    <x v="0"/>
    <x v="0"/>
    <m/>
  </r>
  <r>
    <s v="21781A3442"/>
    <s v="Pavan"/>
    <x v="4"/>
    <n v="65.48"/>
    <x v="1"/>
    <n v="9.5399999999999991"/>
    <x v="3"/>
    <x v="4"/>
    <x v="1"/>
    <x v="0"/>
    <x v="1"/>
    <s v="No"/>
  </r>
  <r>
    <s v="22781A3437"/>
    <s v="Tejaswini"/>
    <x v="3"/>
    <n v="99.81"/>
    <x v="0"/>
    <n v="9.51"/>
    <x v="0"/>
    <x v="0"/>
    <x v="0"/>
    <x v="0"/>
    <x v="0"/>
    <m/>
  </r>
  <r>
    <s v="22781A3438"/>
    <s v="Mahesh"/>
    <x v="2"/>
    <n v="66.680000000000007"/>
    <x v="0"/>
    <n v="6.6"/>
    <x v="0"/>
    <x v="0"/>
    <x v="1"/>
    <x v="0"/>
    <x v="9"/>
    <s v="No"/>
  </r>
  <r>
    <s v="22781A3439"/>
    <s v="Akhila"/>
    <x v="1"/>
    <n v="91.29"/>
    <x v="1"/>
    <n v="5.93"/>
    <x v="0"/>
    <x v="2"/>
    <x v="0"/>
    <x v="0"/>
    <x v="0"/>
    <m/>
  </r>
  <r>
    <s v="21781A3443"/>
    <s v="Kiran"/>
    <x v="3"/>
    <n v="84.39"/>
    <x v="0"/>
    <n v="5.21"/>
    <x v="3"/>
    <x v="0"/>
    <x v="0"/>
    <x v="0"/>
    <x v="0"/>
    <m/>
  </r>
  <r>
    <s v="20781A3456"/>
    <s v="Anjali"/>
    <x v="1"/>
    <n v="78.209999999999994"/>
    <x v="0"/>
    <n v="5.22"/>
    <x v="2"/>
    <x v="0"/>
    <x v="0"/>
    <x v="0"/>
    <x v="0"/>
    <m/>
  </r>
  <r>
    <s v="23781A3411"/>
    <s v="Bhavya"/>
    <x v="5"/>
    <n v="78.91"/>
    <x v="0"/>
    <n v="9.31"/>
    <x v="1"/>
    <x v="0"/>
    <x v="0"/>
    <x v="0"/>
    <x v="0"/>
    <m/>
  </r>
  <r>
    <s v="23781A3412"/>
    <s v="Priya"/>
    <x v="4"/>
    <n v="66.75"/>
    <x v="1"/>
    <n v="8.4499999999999993"/>
    <x v="1"/>
    <x v="1"/>
    <x v="1"/>
    <x v="0"/>
    <x v="8"/>
    <s v="No"/>
  </r>
  <r>
    <s v="22781A3440"/>
    <s v="Mahesh"/>
    <x v="1"/>
    <n v="65.87"/>
    <x v="0"/>
    <n v="5.97"/>
    <x v="0"/>
    <x v="0"/>
    <x v="1"/>
    <x v="0"/>
    <x v="1"/>
    <s v="No"/>
  </r>
  <r>
    <s v="20781A3457"/>
    <s v="Lakshmi"/>
    <x v="5"/>
    <n v="91.35"/>
    <x v="0"/>
    <n v="9.1"/>
    <x v="2"/>
    <x v="0"/>
    <x v="0"/>
    <x v="0"/>
    <x v="0"/>
    <m/>
  </r>
  <r>
    <s v="21781A3444"/>
    <s v="Naveen"/>
    <x v="3"/>
    <n v="88.5"/>
    <x v="0"/>
    <n v="5.98"/>
    <x v="3"/>
    <x v="0"/>
    <x v="0"/>
    <x v="0"/>
    <x v="0"/>
    <m/>
  </r>
  <r>
    <s v="22781A3441"/>
    <s v="Swathi"/>
    <x v="2"/>
    <n v="97.32"/>
    <x v="0"/>
    <n v="9.8000000000000007"/>
    <x v="0"/>
    <x v="0"/>
    <x v="0"/>
    <x v="0"/>
    <x v="0"/>
    <m/>
  </r>
  <r>
    <s v="22781A3442"/>
    <s v="Manoj"/>
    <x v="4"/>
    <n v="93.39"/>
    <x v="0"/>
    <n v="8.5399999999999991"/>
    <x v="0"/>
    <x v="0"/>
    <x v="0"/>
    <x v="0"/>
    <x v="0"/>
    <m/>
  </r>
  <r>
    <s v="21781A3445"/>
    <s v="Kiran"/>
    <x v="3"/>
    <n v="80.94"/>
    <x v="0"/>
    <n v="7.44"/>
    <x v="3"/>
    <x v="0"/>
    <x v="0"/>
    <x v="0"/>
    <x v="0"/>
    <m/>
  </r>
  <r>
    <s v="22781A3443"/>
    <s v="Mahesh"/>
    <x v="2"/>
    <n v="92.55"/>
    <x v="0"/>
    <n v="6.28"/>
    <x v="0"/>
    <x v="0"/>
    <x v="0"/>
    <x v="0"/>
    <x v="0"/>
    <m/>
  </r>
  <r>
    <s v="23781A3413"/>
    <s v="Sumalatha"/>
    <x v="4"/>
    <n v="96.75"/>
    <x v="0"/>
    <n v="5.33"/>
    <x v="1"/>
    <x v="0"/>
    <x v="0"/>
    <x v="0"/>
    <x v="0"/>
    <m/>
  </r>
  <r>
    <s v="20781A3458"/>
    <s v="Pavan"/>
    <x v="0"/>
    <n v="83.28"/>
    <x v="0"/>
    <n v="8.69"/>
    <x v="2"/>
    <x v="0"/>
    <x v="0"/>
    <x v="0"/>
    <x v="0"/>
    <m/>
  </r>
  <r>
    <s v="22781A3444"/>
    <s v="Naveen"/>
    <x v="2"/>
    <n v="75.930000000000007"/>
    <x v="1"/>
    <n v="7.85"/>
    <x v="0"/>
    <x v="2"/>
    <x v="0"/>
    <x v="0"/>
    <x v="0"/>
    <m/>
  </r>
  <r>
    <s v="20781A3459"/>
    <s v="Raghava"/>
    <x v="3"/>
    <n v="77.45"/>
    <x v="0"/>
    <n v="8.66"/>
    <x v="2"/>
    <x v="0"/>
    <x v="0"/>
    <x v="0"/>
    <x v="0"/>
    <m/>
  </r>
  <r>
    <s v="22781A3445"/>
    <s v="Naveen"/>
    <x v="0"/>
    <n v="87.02"/>
    <x v="1"/>
    <n v="6.51"/>
    <x v="0"/>
    <x v="2"/>
    <x v="0"/>
    <x v="0"/>
    <x v="0"/>
    <m/>
  </r>
  <r>
    <s v="20781A3460"/>
    <s v="Divya"/>
    <x v="5"/>
    <n v="66.709999999999994"/>
    <x v="0"/>
    <n v="5.46"/>
    <x v="2"/>
    <x v="0"/>
    <x v="1"/>
    <x v="0"/>
    <x v="7"/>
    <s v="Yes"/>
  </r>
  <r>
    <s v="23781A3414"/>
    <s v="Sumalatha"/>
    <x v="4"/>
    <n v="75.33"/>
    <x v="0"/>
    <n v="6.76"/>
    <x v="1"/>
    <x v="0"/>
    <x v="0"/>
    <x v="0"/>
    <x v="0"/>
    <m/>
  </r>
  <r>
    <s v="23781A3415"/>
    <s v="Swathi"/>
    <x v="2"/>
    <n v="87.81"/>
    <x v="0"/>
    <n v="6.03"/>
    <x v="1"/>
    <x v="0"/>
    <x v="0"/>
    <x v="0"/>
    <x v="0"/>
    <m/>
  </r>
  <r>
    <s v="22781A3446"/>
    <s v="Bhavya"/>
    <x v="5"/>
    <n v="65.53"/>
    <x v="0"/>
    <n v="8.0399999999999991"/>
    <x v="0"/>
    <x v="0"/>
    <x v="1"/>
    <x v="0"/>
    <x v="8"/>
    <s v="No"/>
  </r>
  <r>
    <s v="23781A3416"/>
    <s v="Nikhil"/>
    <x v="3"/>
    <n v="98.27"/>
    <x v="0"/>
    <n v="6.41"/>
    <x v="1"/>
    <x v="0"/>
    <x v="0"/>
    <x v="0"/>
    <x v="0"/>
    <m/>
  </r>
  <r>
    <s v="20781A3461"/>
    <s v="Praveen"/>
    <x v="4"/>
    <n v="87.62"/>
    <x v="0"/>
    <n v="5.28"/>
    <x v="2"/>
    <x v="0"/>
    <x v="0"/>
    <x v="0"/>
    <x v="0"/>
    <m/>
  </r>
  <r>
    <s v="22781A3447"/>
    <s v="Rahul"/>
    <x v="5"/>
    <n v="78.239999999999995"/>
    <x v="0"/>
    <n v="5.62"/>
    <x v="0"/>
    <x v="0"/>
    <x v="0"/>
    <x v="0"/>
    <x v="0"/>
    <m/>
  </r>
  <r>
    <s v="23781A3417"/>
    <s v="Pavan"/>
    <x v="0"/>
    <n v="97.32"/>
    <x v="0"/>
    <n v="8.3699999999999992"/>
    <x v="1"/>
    <x v="0"/>
    <x v="0"/>
    <x v="0"/>
    <x v="0"/>
    <m/>
  </r>
  <r>
    <s v="23781A3418"/>
    <s v="Kavya"/>
    <x v="3"/>
    <n v="67.7"/>
    <x v="0"/>
    <n v="9.73"/>
    <x v="1"/>
    <x v="0"/>
    <x v="1"/>
    <x v="0"/>
    <x v="7"/>
    <s v="No"/>
  </r>
  <r>
    <s v="20781A3462"/>
    <s v="Anjali"/>
    <x v="2"/>
    <n v="87.08"/>
    <x v="0"/>
    <n v="5.23"/>
    <x v="2"/>
    <x v="0"/>
    <x v="0"/>
    <x v="0"/>
    <x v="0"/>
    <m/>
  </r>
  <r>
    <s v="21781A3446"/>
    <s v="Vamsi"/>
    <x v="3"/>
    <n v="84.56"/>
    <x v="1"/>
    <n v="6.44"/>
    <x v="3"/>
    <x v="4"/>
    <x v="0"/>
    <x v="0"/>
    <x v="0"/>
    <m/>
  </r>
  <r>
    <s v="22781A3448"/>
    <s v="Divya"/>
    <x v="3"/>
    <n v="95.11"/>
    <x v="0"/>
    <n v="5.5"/>
    <x v="0"/>
    <x v="0"/>
    <x v="0"/>
    <x v="0"/>
    <x v="0"/>
    <m/>
  </r>
  <r>
    <s v="22781A3449"/>
    <s v="Naveen"/>
    <x v="1"/>
    <n v="70.42"/>
    <x v="0"/>
    <n v="8.52"/>
    <x v="0"/>
    <x v="0"/>
    <x v="1"/>
    <x v="0"/>
    <x v="1"/>
    <s v="No"/>
  </r>
  <r>
    <s v="21781A3447"/>
    <s v="Anjali"/>
    <x v="2"/>
    <n v="67.040000000000006"/>
    <x v="0"/>
    <n v="5.26"/>
    <x v="3"/>
    <x v="0"/>
    <x v="1"/>
    <x v="0"/>
    <x v="2"/>
    <s v="No"/>
  </r>
  <r>
    <s v="23781A3419"/>
    <s v="Raghava"/>
    <x v="1"/>
    <n v="73.349999999999994"/>
    <x v="0"/>
    <n v="5.63"/>
    <x v="1"/>
    <x v="0"/>
    <x v="1"/>
    <x v="0"/>
    <x v="9"/>
    <s v="No"/>
  </r>
  <r>
    <s v="20781A3463"/>
    <s v="Keerthi"/>
    <x v="2"/>
    <n v="98.25"/>
    <x v="0"/>
    <n v="9.5399999999999991"/>
    <x v="2"/>
    <x v="0"/>
    <x v="0"/>
    <x v="0"/>
    <x v="0"/>
    <m/>
  </r>
  <r>
    <s v="20781A3464"/>
    <s v="Lakshmi"/>
    <x v="5"/>
    <n v="81.760000000000005"/>
    <x v="0"/>
    <n v="5.47"/>
    <x v="2"/>
    <x v="0"/>
    <x v="0"/>
    <x v="0"/>
    <x v="0"/>
    <m/>
  </r>
  <r>
    <s v="22781A3450"/>
    <s v="Praveen"/>
    <x v="3"/>
    <n v="97.9"/>
    <x v="0"/>
    <n v="5.69"/>
    <x v="0"/>
    <x v="0"/>
    <x v="0"/>
    <x v="0"/>
    <x v="0"/>
    <m/>
  </r>
  <r>
    <s v="21781A3448"/>
    <s v="Pavan"/>
    <x v="1"/>
    <n v="91.48"/>
    <x v="0"/>
    <n v="9.6199999999999992"/>
    <x v="3"/>
    <x v="0"/>
    <x v="0"/>
    <x v="0"/>
    <x v="0"/>
    <m/>
  </r>
  <r>
    <s v="20781A3465"/>
    <s v="Rahul"/>
    <x v="2"/>
    <n v="86.33"/>
    <x v="0"/>
    <n v="6.96"/>
    <x v="2"/>
    <x v="0"/>
    <x v="0"/>
    <x v="0"/>
    <x v="0"/>
    <m/>
  </r>
  <r>
    <s v="22781A3451"/>
    <s v="Naveen"/>
    <x v="5"/>
    <n v="74.44"/>
    <x v="0"/>
    <n v="8.34"/>
    <x v="0"/>
    <x v="0"/>
    <x v="1"/>
    <x v="0"/>
    <x v="1"/>
    <s v="No"/>
  </r>
  <r>
    <s v="20781A3466"/>
    <s v="Keerthi"/>
    <x v="5"/>
    <n v="87.63"/>
    <x v="0"/>
    <n v="7.87"/>
    <x v="2"/>
    <x v="0"/>
    <x v="0"/>
    <x v="0"/>
    <x v="0"/>
    <m/>
  </r>
  <r>
    <s v="22781A3452"/>
    <s v="Chaitanya"/>
    <x v="2"/>
    <n v="91.39"/>
    <x v="0"/>
    <n v="6.99"/>
    <x v="0"/>
    <x v="0"/>
    <x v="0"/>
    <x v="0"/>
    <x v="0"/>
    <m/>
  </r>
  <r>
    <s v="22781A3453"/>
    <s v="Nikhil"/>
    <x v="5"/>
    <n v="71.849999999999994"/>
    <x v="0"/>
    <n v="9.7100000000000009"/>
    <x v="0"/>
    <x v="0"/>
    <x v="1"/>
    <x v="0"/>
    <x v="4"/>
    <s v="Yes"/>
  </r>
  <r>
    <s v="23781A3420"/>
    <s v="Kavya"/>
    <x v="2"/>
    <n v="73.91"/>
    <x v="0"/>
    <n v="7.75"/>
    <x v="1"/>
    <x v="0"/>
    <x v="1"/>
    <x v="0"/>
    <x v="7"/>
    <s v="No"/>
  </r>
  <r>
    <s v="23781A3421"/>
    <s v="Raghava"/>
    <x v="1"/>
    <n v="62.56"/>
    <x v="0"/>
    <n v="7.56"/>
    <x v="1"/>
    <x v="0"/>
    <x v="0"/>
    <x v="1"/>
    <x v="0"/>
    <m/>
  </r>
  <r>
    <s v="22781A3454"/>
    <s v="Nikhil"/>
    <x v="3"/>
    <n v="90.34"/>
    <x v="0"/>
    <n v="6.12"/>
    <x v="0"/>
    <x v="0"/>
    <x v="0"/>
    <x v="0"/>
    <x v="0"/>
    <m/>
  </r>
  <r>
    <s v="22781A3455"/>
    <s v="Naveen"/>
    <x v="1"/>
    <n v="84.23"/>
    <x v="0"/>
    <n v="7.65"/>
    <x v="0"/>
    <x v="0"/>
    <x v="0"/>
    <x v="0"/>
    <x v="0"/>
    <m/>
  </r>
  <r>
    <s v="20781A3467"/>
    <s v="Deepika"/>
    <x v="1"/>
    <n v="98.8"/>
    <x v="0"/>
    <n v="8.69"/>
    <x v="2"/>
    <x v="0"/>
    <x v="0"/>
    <x v="0"/>
    <x v="0"/>
    <m/>
  </r>
  <r>
    <s v="20781A3468"/>
    <s v="Vamsi"/>
    <x v="1"/>
    <n v="86.93"/>
    <x v="1"/>
    <n v="7.54"/>
    <x v="2"/>
    <x v="3"/>
    <x v="0"/>
    <x v="0"/>
    <x v="0"/>
    <m/>
  </r>
  <r>
    <s v="22781A3456"/>
    <s v="Swathi"/>
    <x v="2"/>
    <n v="87.04"/>
    <x v="0"/>
    <n v="7.98"/>
    <x v="0"/>
    <x v="0"/>
    <x v="0"/>
    <x v="0"/>
    <x v="0"/>
    <m/>
  </r>
  <r>
    <s v="20781A3469"/>
    <s v="Sumalatha"/>
    <x v="4"/>
    <n v="64.92"/>
    <x v="0"/>
    <n v="8.83"/>
    <x v="2"/>
    <x v="0"/>
    <x v="0"/>
    <x v="1"/>
    <x v="0"/>
    <m/>
  </r>
  <r>
    <s v="23781A3422"/>
    <s v="Deepika"/>
    <x v="1"/>
    <n v="73.86"/>
    <x v="0"/>
    <n v="5.21"/>
    <x v="1"/>
    <x v="0"/>
    <x v="1"/>
    <x v="0"/>
    <x v="7"/>
    <s v="No"/>
  </r>
  <r>
    <s v="20781A3470"/>
    <s v="Swathi"/>
    <x v="4"/>
    <n v="65.31"/>
    <x v="1"/>
    <n v="6.12"/>
    <x v="2"/>
    <x v="3"/>
    <x v="1"/>
    <x v="0"/>
    <x v="6"/>
    <s v="Yes"/>
  </r>
  <r>
    <m/>
    <m/>
    <x v="6"/>
    <m/>
    <x v="2"/>
    <m/>
    <x v="4"/>
    <x v="5"/>
    <x v="2"/>
    <x v="2"/>
    <x v="0"/>
    <m/>
  </r>
  <r>
    <m/>
    <m/>
    <x v="6"/>
    <m/>
    <x v="2"/>
    <m/>
    <x v="4"/>
    <x v="5"/>
    <x v="2"/>
    <x v="2"/>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A857EA-F309-4542-B927-0756A356238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2">
    <pivotField dataField="1" showAll="0"/>
    <pivotField showAll="0"/>
    <pivotField axis="axisRow" showAll="0">
      <items count="8">
        <item x="0"/>
        <item x="3"/>
        <item x="4"/>
        <item x="5"/>
        <item x="1"/>
        <item x="2"/>
        <item x="6"/>
        <item t="default"/>
      </items>
    </pivotField>
    <pivotField showAll="0"/>
    <pivotField showAll="0">
      <items count="4">
        <item x="1"/>
        <item x="0"/>
        <item x="2"/>
        <item t="default"/>
      </items>
    </pivotField>
    <pivotField showAll="0"/>
    <pivotField showAll="0">
      <items count="6">
        <item x="1"/>
        <item x="0"/>
        <item x="3"/>
        <item x="2"/>
        <item x="4"/>
        <item t="default"/>
      </items>
    </pivotField>
    <pivotField showAll="0">
      <items count="7">
        <item x="5"/>
        <item x="2"/>
        <item x="3"/>
        <item x="1"/>
        <item x="4"/>
        <item x="0"/>
        <item t="default"/>
      </items>
    </pivotField>
    <pivotField showAll="0">
      <items count="4">
        <item x="0"/>
        <item x="1"/>
        <item x="2"/>
        <item t="default"/>
      </items>
    </pivotField>
    <pivotField showAll="0">
      <items count="4">
        <item x="0"/>
        <item x="1"/>
        <item x="2"/>
        <item t="default"/>
      </items>
    </pivotField>
    <pivotField showAll="0">
      <items count="19">
        <item x="8"/>
        <item m="1" x="16"/>
        <item x="9"/>
        <item m="1" x="17"/>
        <item x="3"/>
        <item x="5"/>
        <item m="1" x="13"/>
        <item x="4"/>
        <item m="1" x="12"/>
        <item x="2"/>
        <item m="1" x="11"/>
        <item x="7"/>
        <item m="1" x="15"/>
        <item x="1"/>
        <item m="1" x="10"/>
        <item x="6"/>
        <item m="1" x="14"/>
        <item x="0"/>
        <item t="default"/>
      </items>
    </pivotField>
    <pivotField showAll="0"/>
  </pivotFields>
  <rowFields count="1">
    <field x="2"/>
  </rowFields>
  <rowItems count="8">
    <i>
      <x/>
    </i>
    <i>
      <x v="1"/>
    </i>
    <i>
      <x v="2"/>
    </i>
    <i>
      <x v="3"/>
    </i>
    <i>
      <x v="4"/>
    </i>
    <i>
      <x v="5"/>
    </i>
    <i>
      <x v="6"/>
    </i>
    <i t="grand">
      <x/>
    </i>
  </rowItems>
  <colItems count="1">
    <i/>
  </colItems>
  <dataFields count="1">
    <dataField name="Count of Roll_Number" fld="0"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2" format="15"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2" count="1" selected="0">
            <x v="0"/>
          </reference>
        </references>
      </pivotArea>
    </chartFormat>
    <chartFormat chart="2" format="17">
      <pivotArea type="data" outline="0" fieldPosition="0">
        <references count="2">
          <reference field="4294967294" count="1" selected="0">
            <x v="0"/>
          </reference>
          <reference field="2" count="1" selected="0">
            <x v="1"/>
          </reference>
        </references>
      </pivotArea>
    </chartFormat>
    <chartFormat chart="2" format="18">
      <pivotArea type="data" outline="0" fieldPosition="0">
        <references count="2">
          <reference field="4294967294" count="1" selected="0">
            <x v="0"/>
          </reference>
          <reference field="2" count="1" selected="0">
            <x v="2"/>
          </reference>
        </references>
      </pivotArea>
    </chartFormat>
    <chartFormat chart="2" format="19">
      <pivotArea type="data" outline="0" fieldPosition="0">
        <references count="2">
          <reference field="4294967294" count="1" selected="0">
            <x v="0"/>
          </reference>
          <reference field="2" count="1" selected="0">
            <x v="3"/>
          </reference>
        </references>
      </pivotArea>
    </chartFormat>
    <chartFormat chart="2" format="20">
      <pivotArea type="data" outline="0" fieldPosition="0">
        <references count="2">
          <reference field="4294967294" count="1" selected="0">
            <x v="0"/>
          </reference>
          <reference field="2" count="1" selected="0">
            <x v="4"/>
          </reference>
        </references>
      </pivotArea>
    </chartFormat>
    <chartFormat chart="2" format="21">
      <pivotArea type="data" outline="0" fieldPosition="0">
        <references count="2">
          <reference field="4294967294" count="1" selected="0">
            <x v="0"/>
          </reference>
          <reference field="2" count="1" selected="0">
            <x v="5"/>
          </reference>
        </references>
      </pivotArea>
    </chartFormat>
    <chartFormat chart="2" format="22">
      <pivotArea type="data" outline="0" fieldPosition="0">
        <references count="2">
          <reference field="4294967294" count="1" selected="0">
            <x v="0"/>
          </reference>
          <reference field="2" count="1" selected="0">
            <x v="6"/>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19E794-99A8-49A5-B853-2BD467195E18}"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3:C10" firstHeaderRow="1" firstDataRow="2" firstDataCol="1"/>
  <pivotFields count="1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3"/>
        <item x="4"/>
        <item x="5"/>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dataField="1"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6">
    <i>
      <x/>
    </i>
    <i>
      <x v="1"/>
    </i>
    <i>
      <x v="2"/>
    </i>
    <i>
      <x v="3"/>
    </i>
    <i>
      <x v="4"/>
    </i>
    <i>
      <x v="5"/>
    </i>
  </rowItems>
  <colFields count="1">
    <field x="4"/>
  </colFields>
  <colItems count="2">
    <i>
      <x/>
    </i>
    <i>
      <x v="1"/>
    </i>
  </colItems>
  <dataFields count="1">
    <dataField name="Count of Result" fld="4" subtotal="count" baseField="0" baseItem="0"/>
  </dataFields>
  <chartFormats count="4">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6" format="4" series="1">
      <pivotArea type="data" outline="0" fieldPosition="0">
        <references count="2">
          <reference field="4294967294" count="1" selected="0">
            <x v="0"/>
          </reference>
          <reference field="4" count="1" selected="0">
            <x v="0"/>
          </reference>
        </references>
      </pivotArea>
    </chartFormat>
    <chartFormat chart="6"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AB8941-0C6C-45EA-BFE2-28C1C254B726}"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12" firstHeaderRow="1" firstDataRow="2" firstDataCol="1"/>
  <pivotFields count="12">
    <pivotField showAll="0"/>
    <pivotField showAll="0"/>
    <pivotField axis="axisRow" showAll="0">
      <items count="8">
        <item x="0"/>
        <item x="3"/>
        <item x="4"/>
        <item x="5"/>
        <item x="1"/>
        <item x="2"/>
        <item x="6"/>
        <item t="default"/>
      </items>
    </pivotField>
    <pivotField showAll="0"/>
    <pivotField showAll="0">
      <items count="4">
        <item x="1"/>
        <item x="0"/>
        <item x="2"/>
        <item t="default"/>
      </items>
    </pivotField>
    <pivotField showAll="0"/>
    <pivotField showAll="0">
      <items count="6">
        <item x="1"/>
        <item x="0"/>
        <item x="3"/>
        <item x="2"/>
        <item x="4"/>
        <item t="default"/>
      </items>
    </pivotField>
    <pivotField showAll="0">
      <items count="7">
        <item x="5"/>
        <item x="2"/>
        <item x="3"/>
        <item x="1"/>
        <item x="4"/>
        <item x="0"/>
        <item t="default"/>
      </items>
    </pivotField>
    <pivotField axis="axisCol" dataField="1" showAll="0">
      <items count="4">
        <item x="0"/>
        <item x="1"/>
        <item x="2"/>
        <item t="default"/>
      </items>
    </pivotField>
    <pivotField showAll="0">
      <items count="4">
        <item x="0"/>
        <item x="1"/>
        <item x="2"/>
        <item t="default"/>
      </items>
    </pivotField>
    <pivotField showAll="0">
      <items count="19">
        <item x="8"/>
        <item m="1" x="16"/>
        <item x="9"/>
        <item m="1" x="17"/>
        <item x="3"/>
        <item x="5"/>
        <item m="1" x="13"/>
        <item x="4"/>
        <item m="1" x="12"/>
        <item x="2"/>
        <item m="1" x="11"/>
        <item x="7"/>
        <item m="1" x="15"/>
        <item x="1"/>
        <item m="1" x="10"/>
        <item x="6"/>
        <item m="1" x="14"/>
        <item x="0"/>
        <item t="default"/>
      </items>
    </pivotField>
    <pivotField showAll="0"/>
  </pivotFields>
  <rowFields count="1">
    <field x="2"/>
  </rowFields>
  <rowItems count="8">
    <i>
      <x/>
    </i>
    <i>
      <x v="1"/>
    </i>
    <i>
      <x v="2"/>
    </i>
    <i>
      <x v="3"/>
    </i>
    <i>
      <x v="4"/>
    </i>
    <i>
      <x v="5"/>
    </i>
    <i>
      <x v="6"/>
    </i>
    <i t="grand">
      <x/>
    </i>
  </rowItems>
  <colFields count="1">
    <field x="8"/>
  </colFields>
  <colItems count="4">
    <i>
      <x/>
    </i>
    <i>
      <x v="1"/>
    </i>
    <i>
      <x v="2"/>
    </i>
    <i t="grand">
      <x/>
    </i>
  </colItems>
  <dataFields count="1">
    <dataField name="Count of Condonation_Status" fld="8" subtotal="count" baseField="0" baseItem="0"/>
  </dataFields>
  <chartFormats count="8">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3" format="6" series="1">
      <pivotArea type="data" outline="0" fieldPosition="0">
        <references count="2">
          <reference field="4294967294" count="1" selected="0">
            <x v="0"/>
          </reference>
          <reference field="8" count="1" selected="0">
            <x v="0"/>
          </reference>
        </references>
      </pivotArea>
    </chartFormat>
    <chartFormat chart="3" format="7" series="1">
      <pivotArea type="data" outline="0" fieldPosition="0">
        <references count="2">
          <reference field="4294967294" count="1" selected="0">
            <x v="0"/>
          </reference>
          <reference field="8" count="1" selected="0">
            <x v="1"/>
          </reference>
        </references>
      </pivotArea>
    </chartFormat>
    <chartFormat chart="3" format="8" series="1">
      <pivotArea type="data" outline="0" fieldPosition="0">
        <references count="2">
          <reference field="4294967294" count="1" selected="0">
            <x v="0"/>
          </reference>
          <reference field="8" count="1" selected="0">
            <x v="2"/>
          </reference>
        </references>
      </pivotArea>
    </chartFormat>
    <chartFormat chart="3"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CC7C33-77D5-4D05-869F-C5981714913C}" name="PivotTable2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C9"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s="1" x="0"/>
        <item x="1"/>
      </items>
    </pivotField>
    <pivotField dataField="1" subtotalTop="0" showAll="0" defaultSubtotal="0"/>
  </pivotFields>
  <rowFields count="1">
    <field x="0"/>
  </rowFields>
  <rowItems count="5">
    <i>
      <x/>
    </i>
    <i>
      <x v="1"/>
    </i>
    <i>
      <x v="2"/>
    </i>
    <i>
      <x v="3"/>
    </i>
    <i t="grand">
      <x/>
    </i>
  </rowItems>
  <colFields count="1">
    <field x="1"/>
  </colFields>
  <colItems count="2">
    <i>
      <x/>
    </i>
    <i t="grand">
      <x/>
    </i>
  </colItems>
  <dataFields count="1">
    <dataField name="Count of Result" fld="2" subtotal="count" baseField="0" baseItem="0"/>
  </dataFields>
  <chartFormats count="6">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3">
          <reference field="4294967294" count="1" selected="0">
            <x v="0"/>
          </reference>
          <reference field="0" count="1" selected="0">
            <x v="3"/>
          </reference>
          <reference field="1" count="1" selected="0">
            <x v="0"/>
          </reference>
        </references>
      </pivotArea>
    </chartFormat>
    <chartFormat chart="0" format="3">
      <pivotArea type="data" outline="0" fieldPosition="0">
        <references count="3">
          <reference field="4294967294" count="1" selected="0">
            <x v="0"/>
          </reference>
          <reference field="0" count="1" selected="0">
            <x v="1"/>
          </reference>
          <reference field="1" count="1" selected="0">
            <x v="0"/>
          </reference>
        </references>
      </pivotArea>
    </chartFormat>
    <chartFormat chart="0" format="4">
      <pivotArea type="data" outline="0" fieldPosition="0">
        <references count="3">
          <reference field="4294967294" count="1" selected="0">
            <x v="0"/>
          </reference>
          <reference field="0" count="1" selected="0">
            <x v="2"/>
          </reference>
          <reference field="1" count="1" selected="0">
            <x v="0"/>
          </reference>
        </references>
      </pivotArea>
    </chartFormat>
    <chartFormat chart="2" format="6" series="1">
      <pivotArea type="data" outline="0" fieldPosition="0">
        <references count="2">
          <reference field="4294967294" count="1" selected="0">
            <x v="0"/>
          </reference>
          <reference field="1" count="1" selected="0">
            <x v="0"/>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vcet Students Dashboard.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1030B2-233F-4C0C-AD4E-A6AFF52466F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12">
    <pivotField showAll="0"/>
    <pivotField showAll="0"/>
    <pivotField showAll="0">
      <items count="8">
        <item x="0"/>
        <item x="3"/>
        <item x="4"/>
        <item x="5"/>
        <item x="1"/>
        <item x="2"/>
        <item x="6"/>
        <item t="default"/>
      </items>
    </pivotField>
    <pivotField showAll="0"/>
    <pivotField axis="axisRow" dataField="1" showAll="0">
      <items count="4">
        <item x="1"/>
        <item x="0"/>
        <item x="2"/>
        <item t="default"/>
      </items>
    </pivotField>
    <pivotField showAll="0"/>
    <pivotField showAll="0">
      <items count="6">
        <item x="1"/>
        <item x="0"/>
        <item x="3"/>
        <item x="2"/>
        <item x="4"/>
        <item t="default"/>
      </items>
    </pivotField>
    <pivotField showAll="0">
      <items count="7">
        <item x="5"/>
        <item x="2"/>
        <item x="3"/>
        <item x="1"/>
        <item x="4"/>
        <item x="0"/>
        <item t="default"/>
      </items>
    </pivotField>
    <pivotField showAll="0">
      <items count="4">
        <item x="0"/>
        <item x="1"/>
        <item x="2"/>
        <item t="default"/>
      </items>
    </pivotField>
    <pivotField showAll="0">
      <items count="4">
        <item x="0"/>
        <item x="1"/>
        <item x="2"/>
        <item t="default"/>
      </items>
    </pivotField>
    <pivotField showAll="0">
      <items count="19">
        <item x="8"/>
        <item m="1" x="16"/>
        <item x="9"/>
        <item m="1" x="17"/>
        <item x="3"/>
        <item x="5"/>
        <item m="1" x="13"/>
        <item x="4"/>
        <item m="1" x="12"/>
        <item x="2"/>
        <item m="1" x="11"/>
        <item x="7"/>
        <item m="1" x="15"/>
        <item x="1"/>
        <item m="1" x="10"/>
        <item x="6"/>
        <item m="1" x="14"/>
        <item x="0"/>
        <item t="default"/>
      </items>
    </pivotField>
    <pivotField showAll="0"/>
  </pivotFields>
  <rowFields count="1">
    <field x="4"/>
  </rowFields>
  <rowItems count="4">
    <i>
      <x/>
    </i>
    <i>
      <x v="1"/>
    </i>
    <i>
      <x v="2"/>
    </i>
    <i t="grand">
      <x/>
    </i>
  </rowItems>
  <colItems count="1">
    <i/>
  </colItems>
  <dataFields count="1">
    <dataField name="Count of Result" fld="4" subtotal="count" baseField="0" baseItem="0"/>
  </dataFields>
  <chartFormats count="8">
    <chartFormat chart="2"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4" count="1" selected="0">
            <x v="0"/>
          </reference>
        </references>
      </pivotArea>
    </chartFormat>
    <chartFormat chart="9" format="7">
      <pivotArea type="data" outline="0" fieldPosition="0">
        <references count="2">
          <reference field="4294967294" count="1" selected="0">
            <x v="0"/>
          </reference>
          <reference field="4" count="1" selected="0">
            <x v="1"/>
          </reference>
        </references>
      </pivotArea>
    </chartFormat>
    <chartFormat chart="9" format="8">
      <pivotArea type="data" outline="0" fieldPosition="0">
        <references count="2">
          <reference field="4294967294" count="1" selected="0">
            <x v="0"/>
          </reference>
          <reference field="4" count="1" selected="0">
            <x v="2"/>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B9B7AA-99B3-40EC-BF3B-0D2876B695E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0" firstHeaderRow="1" firstDataRow="1" firstDataCol="1"/>
  <pivotFields count="12">
    <pivotField showAll="0"/>
    <pivotField showAll="0"/>
    <pivotField showAll="0">
      <items count="8">
        <item x="0"/>
        <item x="3"/>
        <item x="4"/>
        <item x="5"/>
        <item x="1"/>
        <item x="2"/>
        <item x="6"/>
        <item t="default"/>
      </items>
    </pivotField>
    <pivotField showAll="0"/>
    <pivotField dataField="1" showAll="0">
      <items count="4">
        <item x="1"/>
        <item x="0"/>
        <item x="2"/>
        <item t="default"/>
      </items>
    </pivotField>
    <pivotField showAll="0"/>
    <pivotField showAll="0">
      <items count="6">
        <item x="1"/>
        <item x="0"/>
        <item x="3"/>
        <item x="2"/>
        <item x="4"/>
        <item t="default"/>
      </items>
    </pivotField>
    <pivotField axis="axisRow" showAll="0">
      <items count="7">
        <item x="2"/>
        <item x="3"/>
        <item x="1"/>
        <item x="4"/>
        <item x="0"/>
        <item x="5"/>
        <item t="default"/>
      </items>
    </pivotField>
    <pivotField showAll="0">
      <items count="4">
        <item x="0"/>
        <item x="1"/>
        <item x="2"/>
        <item t="default"/>
      </items>
    </pivotField>
    <pivotField showAll="0">
      <items count="4">
        <item x="0"/>
        <item x="1"/>
        <item x="2"/>
        <item t="default"/>
      </items>
    </pivotField>
    <pivotField showAll="0">
      <items count="19">
        <item x="8"/>
        <item m="1" x="16"/>
        <item x="9"/>
        <item m="1" x="17"/>
        <item x="3"/>
        <item x="5"/>
        <item m="1" x="13"/>
        <item x="4"/>
        <item m="1" x="12"/>
        <item x="2"/>
        <item m="1" x="11"/>
        <item x="7"/>
        <item m="1" x="15"/>
        <item x="1"/>
        <item m="1" x="10"/>
        <item x="6"/>
        <item m="1" x="14"/>
        <item x="0"/>
        <item t="default"/>
      </items>
    </pivotField>
    <pivotField showAll="0"/>
  </pivotFields>
  <rowFields count="1">
    <field x="7"/>
  </rowFields>
  <rowItems count="7">
    <i>
      <x/>
    </i>
    <i>
      <x v="1"/>
    </i>
    <i>
      <x v="2"/>
    </i>
    <i>
      <x v="3"/>
    </i>
    <i>
      <x v="4"/>
    </i>
    <i>
      <x v="5"/>
    </i>
    <i t="grand">
      <x/>
    </i>
  </rowItems>
  <colItems count="1">
    <i/>
  </colItems>
  <dataFields count="1">
    <dataField name="Count of Result" fld="4"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068179-A371-4411-B4A6-BD6C8FD03B59}"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12">
    <pivotField dataField="1" showAll="0"/>
    <pivotField showAll="0"/>
    <pivotField showAll="0">
      <items count="8">
        <item x="0"/>
        <item x="3"/>
        <item x="4"/>
        <item x="5"/>
        <item x="1"/>
        <item x="2"/>
        <item x="6"/>
        <item t="default"/>
      </items>
    </pivotField>
    <pivotField showAll="0"/>
    <pivotField showAll="0">
      <items count="4">
        <item x="1"/>
        <item x="0"/>
        <item x="2"/>
        <item t="default"/>
      </items>
    </pivotField>
    <pivotField showAll="0"/>
    <pivotField showAll="0">
      <items count="6">
        <item x="1"/>
        <item x="0"/>
        <item x="3"/>
        <item x="2"/>
        <item x="4"/>
        <item t="default"/>
      </items>
    </pivotField>
    <pivotField showAll="0">
      <items count="7">
        <item x="5"/>
        <item x="2"/>
        <item x="3"/>
        <item x="1"/>
        <item x="4"/>
        <item x="0"/>
        <item t="default"/>
      </items>
    </pivotField>
    <pivotField showAll="0">
      <items count="4">
        <item x="0"/>
        <item x="1"/>
        <item x="2"/>
        <item t="default"/>
      </items>
    </pivotField>
    <pivotField showAll="0">
      <items count="4">
        <item x="0"/>
        <item x="1"/>
        <item x="2"/>
        <item t="default"/>
      </items>
    </pivotField>
    <pivotField axis="axisRow" showAll="0">
      <items count="19">
        <item x="0"/>
        <item m="1" x="14"/>
        <item x="6"/>
        <item m="1" x="10"/>
        <item x="1"/>
        <item m="1" x="15"/>
        <item x="7"/>
        <item m="1" x="11"/>
        <item x="2"/>
        <item m="1" x="12"/>
        <item x="4"/>
        <item m="1" x="13"/>
        <item x="5"/>
        <item m="1" x="17"/>
        <item m="1" x="16"/>
        <item x="8"/>
        <item x="9"/>
        <item x="3"/>
        <item t="default"/>
      </items>
    </pivotField>
    <pivotField showAll="0"/>
  </pivotFields>
  <rowFields count="1">
    <field x="10"/>
  </rowFields>
  <rowItems count="11">
    <i>
      <x/>
    </i>
    <i>
      <x v="2"/>
    </i>
    <i>
      <x v="4"/>
    </i>
    <i>
      <x v="6"/>
    </i>
    <i>
      <x v="8"/>
    </i>
    <i>
      <x v="10"/>
    </i>
    <i>
      <x v="12"/>
    </i>
    <i>
      <x v="15"/>
    </i>
    <i>
      <x v="16"/>
    </i>
    <i>
      <x v="17"/>
    </i>
    <i t="grand">
      <x/>
    </i>
  </rowItems>
  <colItems count="1">
    <i/>
  </colItems>
  <dataFields count="1">
    <dataField name="Count of Roll_Number" fld="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D3DB40-3B5E-4066-B843-665B657C568E}"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2">
    <pivotField showAll="0"/>
    <pivotField showAll="0"/>
    <pivotField showAll="0">
      <items count="8">
        <item x="0"/>
        <item x="3"/>
        <item x="4"/>
        <item x="5"/>
        <item x="1"/>
        <item x="2"/>
        <item x="6"/>
        <item t="default"/>
      </items>
    </pivotField>
    <pivotField showAll="0"/>
    <pivotField showAll="0">
      <items count="4">
        <item x="1"/>
        <item x="0"/>
        <item x="2"/>
        <item t="default"/>
      </items>
    </pivotField>
    <pivotField showAll="0"/>
    <pivotField showAll="0">
      <items count="6">
        <item x="1"/>
        <item x="0"/>
        <item x="3"/>
        <item x="2"/>
        <item x="4"/>
        <item t="default"/>
      </items>
    </pivotField>
    <pivotField showAll="0">
      <items count="7">
        <item x="5"/>
        <item x="2"/>
        <item x="3"/>
        <item x="1"/>
        <item x="4"/>
        <item x="0"/>
        <item t="default"/>
      </items>
    </pivotField>
    <pivotField showAll="0">
      <items count="4">
        <item x="0"/>
        <item x="1"/>
        <item x="2"/>
        <item t="default"/>
      </items>
    </pivotField>
    <pivotField showAll="0">
      <items count="4">
        <item x="0"/>
        <item x="1"/>
        <item x="2"/>
        <item t="default"/>
      </items>
    </pivotField>
    <pivotField showAll="0">
      <items count="19">
        <item x="8"/>
        <item m="1" x="16"/>
        <item x="9"/>
        <item m="1" x="17"/>
        <item x="3"/>
        <item x="5"/>
        <item m="1" x="13"/>
        <item x="4"/>
        <item m="1" x="12"/>
        <item x="2"/>
        <item m="1" x="11"/>
        <item x="7"/>
        <item m="1" x="15"/>
        <item x="1"/>
        <item m="1" x="10"/>
        <item x="6"/>
        <item m="1" x="14"/>
        <item x="0"/>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2A6B685-227A-4CB2-9427-496F74F00324}" autoFormatId="16" applyNumberFormats="0" applyBorderFormats="0" applyFontFormats="0" applyPatternFormats="0" applyAlignmentFormats="0" applyWidthHeightFormats="0">
  <queryTableRefresh nextId="13" unboundColumnsRight="5">
    <queryTableFields count="12">
      <queryTableField id="1" name="roll_num" tableColumnId="1"/>
      <queryTableField id="2" name="stud_name" tableColumnId="2"/>
      <queryTableField id="3" name="Branch" tableColumnId="3"/>
      <queryTableField id="4" name="attendence perce" tableColumnId="4"/>
      <queryTableField id="5" name="result" tableColumnId="5"/>
      <queryTableField id="6" name="CGPA" tableColumnId="6"/>
      <queryTableField id="7" name="which_year" tableColumnId="7"/>
      <queryTableField id="8" dataBound="0" tableColumnId="8"/>
      <queryTableField id="9" dataBound="0" tableColumnId="9"/>
      <queryTableField id="10" dataBound="0" tableColumnId="10"/>
      <queryTableField id="11" dataBound="0"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390D205F-0F8F-4D04-A7A2-61431F5DA5C6}" sourceName="Branch">
  <pivotTables>
    <pivotTable tabId="16" name="PivotTable6"/>
    <pivotTable tabId="12" name="PivotTable1"/>
    <pivotTable tabId="5" name="PivotTable17"/>
    <pivotTable tabId="13" name="PivotTable4"/>
    <pivotTable tabId="14" name="PivotTable5"/>
    <pivotTable tabId="3" name="PivotTable1"/>
  </pivotTables>
  <data>
    <tabular pivotCacheId="1062344500">
      <items count="7">
        <i x="0" s="1"/>
        <i x="3" s="1"/>
        <i x="4" s="1"/>
        <i x="5" s="1"/>
        <i x="1" s="1"/>
        <i x="2" s="1"/>
        <i x="6"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ult" xr10:uid="{3CB64916-0207-49D3-A64A-C8EE28F9E30D}" sourceName="Result">
  <pivotTables>
    <pivotTable tabId="16" name="PivotTable6"/>
    <pivotTable tabId="12" name="PivotTable1"/>
    <pivotTable tabId="5" name="PivotTable17"/>
    <pivotTable tabId="13" name="PivotTable4"/>
    <pivotTable tabId="14" name="PivotTable5"/>
    <pivotTable tabId="3" name="PivotTable1"/>
  </pivotTables>
  <data>
    <tabular pivotCacheId="1062344500">
      <items count="3">
        <i x="1" s="1"/>
        <i x="0"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ying_year" xr10:uid="{87CFD6D2-DB84-4A7E-AE26-97DBF48F0BC1}" sourceName="Studying_year">
  <pivotTables>
    <pivotTable tabId="16" name="PivotTable6"/>
    <pivotTable tabId="12" name="PivotTable1"/>
    <pivotTable tabId="5" name="PivotTable17"/>
    <pivotTable tabId="13" name="PivotTable4"/>
    <pivotTable tabId="14" name="PivotTable5"/>
    <pivotTable tabId="3" name="PivotTable1"/>
  </pivotTables>
  <data>
    <tabular pivotCacheId="1062344500">
      <items count="5">
        <i x="1" s="1"/>
        <i x="0" s="1"/>
        <i x="3" s="1"/>
        <i x="2" s="1"/>
        <i x="4"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iled_Most_Sub" xr10:uid="{A10BFFD3-9DB6-44B7-B088-20843B5C1B3B}" sourceName="Failed_Most_Sub">
  <pivotTables>
    <pivotTable tabId="16" name="PivotTable6"/>
    <pivotTable tabId="12" name="PivotTable1"/>
    <pivotTable tabId="5" name="PivotTable17"/>
    <pivotTable tabId="13" name="PivotTable4"/>
    <pivotTable tabId="14" name="PivotTable5"/>
    <pivotTable tabId="3" name="PivotTable1"/>
  </pivotTables>
  <data>
    <tabular pivotCacheId="1062344500">
      <items count="6">
        <i x="5" s="1"/>
        <i x="2" s="1"/>
        <i x="3" s="1"/>
        <i x="1" s="1"/>
        <i x="4" s="1"/>
        <i x="0"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onation_Status" xr10:uid="{F6DED3DF-3E17-4D10-A149-7EE114915C91}" sourceName="Condonation_Status">
  <pivotTables>
    <pivotTable tabId="16" name="PivotTable6"/>
    <pivotTable tabId="12" name="PivotTable1"/>
    <pivotTable tabId="5" name="PivotTable17"/>
    <pivotTable tabId="13" name="PivotTable4"/>
    <pivotTable tabId="14" name="PivotTable5"/>
    <pivotTable tabId="3" name="PivotTable1"/>
  </pivotTables>
  <data>
    <tabular pivotCacheId="1062344500">
      <items count="3">
        <i x="0" s="1"/>
        <i x="1" s="1"/>
        <i x="2"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tention_Status" xr10:uid="{F5D16200-44FB-4F45-B534-180E9EAF45C1}" sourceName="Detention_Status">
  <pivotTables>
    <pivotTable tabId="16" name="PivotTable6"/>
    <pivotTable tabId="12" name="PivotTable1"/>
    <pivotTable tabId="5" name="PivotTable17"/>
    <pivotTable tabId="13" name="PivotTable4"/>
    <pivotTable tabId="14" name="PivotTable5"/>
    <pivotTable tabId="3" name="PivotTable1"/>
  </pivotTables>
  <data>
    <tabular pivotCacheId="1062344500">
      <items count="3">
        <i x="0" s="1"/>
        <i x="1" s="1"/>
        <i x="2" s="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ED3C23D-DD21-4FE1-B2A1-1AB2319467D0}" sourceName="Location">
  <pivotTables>
    <pivotTable tabId="16" name="PivotTable6"/>
    <pivotTable tabId="12" name="PivotTable1"/>
    <pivotTable tabId="5" name="PivotTable17"/>
    <pivotTable tabId="13" name="PivotTable4"/>
    <pivotTable tabId="14" name="PivotTable5"/>
    <pivotTable tabId="3" name="PivotTable1"/>
  </pivotTables>
  <data>
    <tabular pivotCacheId="1062344500">
      <items count="18">
        <i x="8" s="1"/>
        <i x="9" s="1"/>
        <i x="3" s="1"/>
        <i x="5" s="1"/>
        <i x="4" s="1"/>
        <i x="2" s="1"/>
        <i x="7" s="1"/>
        <i x="1" s="1"/>
        <i x="6" s="1"/>
        <i x="0" s="1"/>
        <i x="16" s="1" nd="1"/>
        <i x="17" s="1" nd="1"/>
        <i x="13" s="1" nd="1"/>
        <i x="12" s="1" nd="1"/>
        <i x="11" s="1" nd="1"/>
        <i x="15" s="1" nd="1"/>
        <i x="10" s="1" nd="1"/>
        <i x="1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A814715D-BDD6-4451-B632-3E0A8A7A85B2}" cache="Slicer_Branch" caption="Branch" rowHeight="432000"/>
  <slicer name="Result 1" xr10:uid="{185430DE-E3F0-4538-AADF-C6A538B6EC9B}" cache="Slicer_Result" caption="Result" rowHeight="288000"/>
  <slicer name="Studying_year 1" xr10:uid="{504446EB-164A-42FA-BF24-1E63D13E29E8}" cache="Slicer_Studying_year" caption="Studying_year" rowHeight="324000"/>
  <slicer name="Failed_Most_Sub 1" xr10:uid="{AECDDBC5-337D-4E56-B05F-EC60427BC611}" cache="Slicer_Failed_Most_Sub" caption="Failed_Most_Sub" rowHeight="324000"/>
  <slicer name="Condonation_Status 1" xr10:uid="{D1DF604D-406B-4BD4-9A40-A0B8EAC4138A}" cache="Slicer_Condonation_Status" caption="Condonation_Status" rowHeight="252000"/>
  <slicer name="Detention_Status 1" xr10:uid="{C0902488-FD05-4AA0-83C4-45B1406ABF41}" cache="Slicer_Detention_Status" caption="Detention_Status" rowHeight="251883"/>
  <slicer name="Location 1" xr10:uid="{A4F8457B-FBB1-4F77-95BB-3FDE657E2FFE}" cache="Slicer_Location" caption="Location" rowHeight="82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F31AD425-064B-43DD-9C46-455F604D0B0D}" cache="Slicer_Branch" caption="Branch" rowHeight="251883"/>
  <slicer name="Result" xr10:uid="{D80E4F77-7197-45C2-85F2-66B6008C95B0}" cache="Slicer_Result" caption="Result" rowHeight="251883"/>
  <slicer name="Studying_year" xr10:uid="{6566E17F-4BD7-4A7B-8719-5616052CDA40}" cache="Slicer_Studying_year" caption="Studying_year" rowHeight="251883"/>
  <slicer name="Failed_Most_Sub" xr10:uid="{A5DA02B5-A6E1-430F-8F42-E9DA5F1601F1}" cache="Slicer_Failed_Most_Sub" caption="Failed_Most_Sub" rowHeight="251883"/>
  <slicer name="Condonation_Status" xr10:uid="{BE624866-5278-49BE-AD92-2505A5CD0A64}" cache="Slicer_Condonation_Status" caption="Condonation_Status" rowHeight="251883"/>
  <slicer name="Detention_Status" xr10:uid="{AC1D9950-878B-44B3-A19C-0825D19113EC}" cache="Slicer_Detention_Status" caption="Detention_Status" rowHeight="251883"/>
  <slicer name="Location" xr10:uid="{D5D95B3B-DB65-4519-88D3-2F5DA93AE320}" cache="Slicer_Location" caption="Location"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510395-040A-4AC6-B532-40BD8AE62D10}" name="Sheet1" displayName="Sheet1" ref="A1:L1003" tableType="queryTable" totalsRowShown="0">
  <autoFilter ref="A1:L1003" xr:uid="{43510395-040A-4AC6-B532-40BD8AE62D10}">
    <filterColumn colId="8">
      <filters>
        <filter val="Yes"/>
      </filters>
    </filterColumn>
  </autoFilter>
  <tableColumns count="12">
    <tableColumn id="1" xr3:uid="{90AD673B-3AD4-497C-B441-4C1687A2837E}" uniqueName="1" name="Roll_Number" queryTableFieldId="1" dataDxfId="9"/>
    <tableColumn id="2" xr3:uid="{6F996740-C0BC-4287-BE55-8805D2D1570D}" uniqueName="2" name="Student_Name" queryTableFieldId="2" dataDxfId="8"/>
    <tableColumn id="3" xr3:uid="{565CD383-102F-4A3D-9DB3-7BCA85462C76}" uniqueName="3" name="Branch" queryTableFieldId="3" dataDxfId="7"/>
    <tableColumn id="4" xr3:uid="{497B6FEC-111E-4E3B-A22E-243C1ED54797}" uniqueName="4" name="Attendance " queryTableFieldId="4"/>
    <tableColumn id="5" xr3:uid="{3BEB365C-45EE-4613-8FDC-9012F14FDFE2}" uniqueName="5" name="Result" queryTableFieldId="5" dataDxfId="6"/>
    <tableColumn id="6" xr3:uid="{4119E7B6-B1FB-4950-A1C7-07341982CD36}" uniqueName="6" name="CGPA" queryTableFieldId="6"/>
    <tableColumn id="7" xr3:uid="{172D8B98-3FE8-4ED3-9483-69E383C5BEAD}" uniqueName="7" name="Studying_year" queryTableFieldId="7" dataDxfId="5"/>
    <tableColumn id="8" xr3:uid="{26DD1FB5-5AFF-4AA5-9A95-E22B43C65F78}" uniqueName="8" name="Failed_Most_Sub" queryTableFieldId="8" dataDxfId="4">
      <calculatedColumnFormula>IF(E2="Pass","Passed",
IF(G2="1st Year","M1",
IF(G2="2nd Year","DBMS",
IF(G2="3rd Year","Machine Learning",
IF(G2="4th Year","Deep Learning","")))))</calculatedColumnFormula>
    </tableColumn>
    <tableColumn id="9" xr3:uid="{99455248-D275-49BF-91BA-B4D0A4452D65}" uniqueName="9" name="Condonation_Status" queryTableFieldId="9" dataDxfId="3">
      <calculatedColumnFormula>IF(AND(Sheet1[[#This Row],[Attendance ]]&gt;65,Sheet1[[#This Row],[Attendance ]]&lt;75),"Yes","No")</calculatedColumnFormula>
    </tableColumn>
    <tableColumn id="10" xr3:uid="{7C5F19F8-E078-4A61-8156-710795EC0D5D}" uniqueName="10" name="Detention_Status" queryTableFieldId="10" dataDxfId="2">
      <calculatedColumnFormula>IF(Sheet1[[#This Row],[Attendance ]]&lt;65,"Yes","No")</calculatedColumnFormula>
    </tableColumn>
    <tableColumn id="11" xr3:uid="{53A01D41-EB6C-4791-A7B9-95B84386CD30}" uniqueName="11" name="Location" queryTableFieldId="11" dataDxfId="1"/>
    <tableColumn id="12" xr3:uid="{F23B87C2-4D9E-4C06-A445-8A681F3BB2F3}" uniqueName="12" name="Placements" queryTableFieldId="12" dataDxfId="0"/>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5EF5D-4092-4E9A-BD28-DA978939EF8F}">
  <dimension ref="A3:B11"/>
  <sheetViews>
    <sheetView topLeftCell="F1" workbookViewId="0">
      <selection activeCell="C16" sqref="C16"/>
    </sheetView>
  </sheetViews>
  <sheetFormatPr defaultRowHeight="14.5" x14ac:dyDescent="0.35"/>
  <cols>
    <col min="1" max="1" width="12.453125" bestFit="1" customWidth="1"/>
    <col min="2" max="2" width="19.26953125" bestFit="1" customWidth="1"/>
  </cols>
  <sheetData>
    <row r="3" spans="1:2" x14ac:dyDescent="0.35">
      <c r="A3" s="1" t="s">
        <v>1051</v>
      </c>
      <c r="B3" t="s">
        <v>1053</v>
      </c>
    </row>
    <row r="4" spans="1:2" x14ac:dyDescent="0.35">
      <c r="A4" s="2" t="s">
        <v>4</v>
      </c>
      <c r="B4">
        <v>145</v>
      </c>
    </row>
    <row r="5" spans="1:2" x14ac:dyDescent="0.35">
      <c r="A5" s="2" t="s">
        <v>20</v>
      </c>
      <c r="B5">
        <v>180</v>
      </c>
    </row>
    <row r="6" spans="1:2" x14ac:dyDescent="0.35">
      <c r="A6" s="2" t="s">
        <v>23</v>
      </c>
      <c r="B6">
        <v>158</v>
      </c>
    </row>
    <row r="7" spans="1:2" x14ac:dyDescent="0.35">
      <c r="A7" s="2" t="s">
        <v>35</v>
      </c>
      <c r="B7">
        <v>132</v>
      </c>
    </row>
    <row r="8" spans="1:2" x14ac:dyDescent="0.35">
      <c r="A8" s="2" t="s">
        <v>9</v>
      </c>
      <c r="B8">
        <v>183</v>
      </c>
    </row>
    <row r="9" spans="1:2" x14ac:dyDescent="0.35">
      <c r="A9" s="2" t="s">
        <v>13</v>
      </c>
      <c r="B9">
        <v>202</v>
      </c>
    </row>
    <row r="10" spans="1:2" x14ac:dyDescent="0.35">
      <c r="A10" s="2" t="s">
        <v>1066</v>
      </c>
    </row>
    <row r="11" spans="1:2" x14ac:dyDescent="0.35">
      <c r="A11" s="2" t="s">
        <v>1052</v>
      </c>
      <c r="B11">
        <v>1000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8386D-68CE-4AD3-9187-698404796240}">
  <dimension ref="A3:C10"/>
  <sheetViews>
    <sheetView workbookViewId="0">
      <selection activeCell="B18" sqref="B18"/>
    </sheetView>
  </sheetViews>
  <sheetFormatPr defaultRowHeight="14.5" x14ac:dyDescent="0.35"/>
  <cols>
    <col min="1" max="1" width="13.7265625" bestFit="1" customWidth="1"/>
    <col min="2" max="2" width="8.453125" bestFit="1" customWidth="1"/>
    <col min="3" max="3" width="4.7265625" bestFit="1" customWidth="1"/>
  </cols>
  <sheetData>
    <row r="3" spans="1:3" x14ac:dyDescent="0.35">
      <c r="A3" s="1" t="s">
        <v>1054</v>
      </c>
      <c r="B3" s="1" t="s">
        <v>1043</v>
      </c>
    </row>
    <row r="4" spans="1:3" x14ac:dyDescent="0.35">
      <c r="A4" s="1" t="s">
        <v>0</v>
      </c>
      <c r="B4" t="s">
        <v>10</v>
      </c>
      <c r="C4" t="s">
        <v>5</v>
      </c>
    </row>
    <row r="5" spans="1:3" x14ac:dyDescent="0.35">
      <c r="A5" t="s">
        <v>4</v>
      </c>
      <c r="B5">
        <v>21</v>
      </c>
      <c r="C5">
        <v>124</v>
      </c>
    </row>
    <row r="6" spans="1:3" x14ac:dyDescent="0.35">
      <c r="A6" t="s">
        <v>20</v>
      </c>
      <c r="B6">
        <v>22</v>
      </c>
      <c r="C6">
        <v>158</v>
      </c>
    </row>
    <row r="7" spans="1:3" x14ac:dyDescent="0.35">
      <c r="A7" t="s">
        <v>23</v>
      </c>
      <c r="B7">
        <v>23</v>
      </c>
      <c r="C7">
        <v>135</v>
      </c>
    </row>
    <row r="8" spans="1:3" x14ac:dyDescent="0.35">
      <c r="A8" t="s">
        <v>35</v>
      </c>
      <c r="B8">
        <v>11</v>
      </c>
      <c r="C8">
        <v>121</v>
      </c>
    </row>
    <row r="9" spans="1:3" x14ac:dyDescent="0.35">
      <c r="A9" t="s">
        <v>9</v>
      </c>
      <c r="B9">
        <v>23</v>
      </c>
      <c r="C9">
        <v>160</v>
      </c>
    </row>
    <row r="10" spans="1:3" x14ac:dyDescent="0.35">
      <c r="A10" t="s">
        <v>13</v>
      </c>
      <c r="B10">
        <v>19</v>
      </c>
      <c r="C10">
        <v>183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7F98E-73CF-401B-B9C2-88D082DC0E9E}">
  <dimension ref="A3:E12"/>
  <sheetViews>
    <sheetView workbookViewId="0">
      <selection activeCell="A19" sqref="A19"/>
    </sheetView>
  </sheetViews>
  <sheetFormatPr defaultRowHeight="14.5" x14ac:dyDescent="0.35"/>
  <cols>
    <col min="1" max="1" width="25.6328125" bestFit="1" customWidth="1"/>
    <col min="2" max="2" width="15.6328125" bestFit="1" customWidth="1"/>
    <col min="3" max="3" width="3.81640625" bestFit="1" customWidth="1"/>
    <col min="4" max="4" width="6.81640625" bestFit="1" customWidth="1"/>
    <col min="5" max="5" width="10.36328125" bestFit="1" customWidth="1"/>
    <col min="6" max="6" width="28.26953125" bestFit="1" customWidth="1"/>
    <col min="7" max="7" width="25.7265625" bestFit="1" customWidth="1"/>
    <col min="8" max="8" width="25.6328125" bestFit="1" customWidth="1"/>
    <col min="9" max="9" width="23" bestFit="1" customWidth="1"/>
    <col min="10" max="10" width="29" bestFit="1" customWidth="1"/>
    <col min="11" max="11" width="26.453125" bestFit="1" customWidth="1"/>
    <col min="12" max="12" width="30.1796875" bestFit="1" customWidth="1"/>
    <col min="13" max="13" width="27.54296875" bestFit="1" customWidth="1"/>
  </cols>
  <sheetData>
    <row r="3" spans="1:5" x14ac:dyDescent="0.35">
      <c r="A3" s="1" t="s">
        <v>1058</v>
      </c>
      <c r="B3" s="1" t="s">
        <v>1055</v>
      </c>
    </row>
    <row r="4" spans="1:5" x14ac:dyDescent="0.35">
      <c r="A4" s="1" t="s">
        <v>1051</v>
      </c>
      <c r="B4" t="s">
        <v>1056</v>
      </c>
      <c r="C4" t="s">
        <v>1057</v>
      </c>
      <c r="D4" t="s">
        <v>1066</v>
      </c>
      <c r="E4" t="s">
        <v>1052</v>
      </c>
    </row>
    <row r="5" spans="1:5" x14ac:dyDescent="0.35">
      <c r="A5" s="2" t="s">
        <v>4</v>
      </c>
      <c r="B5">
        <v>116</v>
      </c>
      <c r="C5">
        <v>29</v>
      </c>
      <c r="E5">
        <v>145</v>
      </c>
    </row>
    <row r="6" spans="1:5" x14ac:dyDescent="0.35">
      <c r="A6" s="2" t="s">
        <v>20</v>
      </c>
      <c r="B6">
        <v>131</v>
      </c>
      <c r="C6">
        <v>49</v>
      </c>
      <c r="E6">
        <v>180</v>
      </c>
    </row>
    <row r="7" spans="1:5" x14ac:dyDescent="0.35">
      <c r="A7" s="2" t="s">
        <v>23</v>
      </c>
      <c r="B7">
        <v>124</v>
      </c>
      <c r="C7">
        <v>34</v>
      </c>
      <c r="E7">
        <v>158</v>
      </c>
    </row>
    <row r="8" spans="1:5" x14ac:dyDescent="0.35">
      <c r="A8" s="2" t="s">
        <v>35</v>
      </c>
      <c r="B8">
        <v>98</v>
      </c>
      <c r="C8">
        <v>34</v>
      </c>
      <c r="E8">
        <v>132</v>
      </c>
    </row>
    <row r="9" spans="1:5" x14ac:dyDescent="0.35">
      <c r="A9" s="2" t="s">
        <v>9</v>
      </c>
      <c r="B9">
        <v>137</v>
      </c>
      <c r="C9">
        <v>46</v>
      </c>
      <c r="E9">
        <v>183</v>
      </c>
    </row>
    <row r="10" spans="1:5" x14ac:dyDescent="0.35">
      <c r="A10" s="2" t="s">
        <v>13</v>
      </c>
      <c r="B10">
        <v>151</v>
      </c>
      <c r="C10">
        <v>51</v>
      </c>
      <c r="E10">
        <v>202</v>
      </c>
    </row>
    <row r="11" spans="1:5" x14ac:dyDescent="0.35">
      <c r="A11" s="2" t="s">
        <v>1066</v>
      </c>
    </row>
    <row r="12" spans="1:5" x14ac:dyDescent="0.35">
      <c r="A12" s="2" t="s">
        <v>1052</v>
      </c>
      <c r="B12">
        <v>757</v>
      </c>
      <c r="C12">
        <v>243</v>
      </c>
      <c r="E12">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80EDA-3BFB-4BC7-ACF5-29C3AC56C34F}">
  <dimension ref="A3:C9"/>
  <sheetViews>
    <sheetView workbookViewId="0">
      <selection activeCell="D20" sqref="D20"/>
    </sheetView>
  </sheetViews>
  <sheetFormatPr defaultRowHeight="14.5" x14ac:dyDescent="0.35"/>
  <cols>
    <col min="1" max="1" width="13.7265625" bestFit="1" customWidth="1"/>
    <col min="2" max="2" width="15.6328125" bestFit="1" customWidth="1"/>
    <col min="3" max="4" width="10.36328125" bestFit="1" customWidth="1"/>
  </cols>
  <sheetData>
    <row r="3" spans="1:3" x14ac:dyDescent="0.35">
      <c r="A3" s="1" t="s">
        <v>1054</v>
      </c>
      <c r="B3" s="1" t="s">
        <v>1055</v>
      </c>
    </row>
    <row r="4" spans="1:3" x14ac:dyDescent="0.35">
      <c r="A4" s="1" t="s">
        <v>1051</v>
      </c>
      <c r="B4" t="s">
        <v>5</v>
      </c>
      <c r="C4" t="s">
        <v>1052</v>
      </c>
    </row>
    <row r="5" spans="1:3" x14ac:dyDescent="0.35">
      <c r="A5" s="2" t="s">
        <v>11</v>
      </c>
      <c r="B5">
        <v>194</v>
      </c>
      <c r="C5">
        <v>194</v>
      </c>
    </row>
    <row r="6" spans="1:3" x14ac:dyDescent="0.35">
      <c r="A6" s="2" t="s">
        <v>6</v>
      </c>
      <c r="B6">
        <v>222</v>
      </c>
      <c r="C6">
        <v>222</v>
      </c>
    </row>
    <row r="7" spans="1:3" x14ac:dyDescent="0.35">
      <c r="A7" s="2" t="s">
        <v>28</v>
      </c>
      <c r="B7">
        <v>224</v>
      </c>
      <c r="C7">
        <v>224</v>
      </c>
    </row>
    <row r="8" spans="1:3" x14ac:dyDescent="0.35">
      <c r="A8" s="2" t="s">
        <v>26</v>
      </c>
      <c r="B8">
        <v>241</v>
      </c>
      <c r="C8">
        <v>241</v>
      </c>
    </row>
    <row r="9" spans="1:3" x14ac:dyDescent="0.35">
      <c r="A9" s="2" t="s">
        <v>1052</v>
      </c>
      <c r="B9">
        <v>881</v>
      </c>
      <c r="C9">
        <v>881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1B703-BE64-4DCA-8629-9C5F4E54CE38}">
  <dimension ref="A3:B7"/>
  <sheetViews>
    <sheetView workbookViewId="0">
      <selection activeCell="K9" sqref="K9"/>
    </sheetView>
  </sheetViews>
  <sheetFormatPr defaultRowHeight="14.5" x14ac:dyDescent="0.35"/>
  <cols>
    <col min="1" max="1" width="12.453125" bestFit="1" customWidth="1"/>
    <col min="2" max="2" width="13.7265625" bestFit="1" customWidth="1"/>
  </cols>
  <sheetData>
    <row r="3" spans="1:2" x14ac:dyDescent="0.35">
      <c r="A3" s="1" t="s">
        <v>1051</v>
      </c>
      <c r="B3" t="s">
        <v>1054</v>
      </c>
    </row>
    <row r="4" spans="1:2" x14ac:dyDescent="0.35">
      <c r="A4" s="2" t="s">
        <v>10</v>
      </c>
      <c r="B4">
        <v>119</v>
      </c>
    </row>
    <row r="5" spans="1:2" x14ac:dyDescent="0.35">
      <c r="A5" s="2" t="s">
        <v>5</v>
      </c>
      <c r="B5">
        <v>881</v>
      </c>
    </row>
    <row r="6" spans="1:2" x14ac:dyDescent="0.35">
      <c r="A6" s="2" t="s">
        <v>1066</v>
      </c>
    </row>
    <row r="7" spans="1:2" x14ac:dyDescent="0.35">
      <c r="A7" s="2" t="s">
        <v>1052</v>
      </c>
      <c r="B7">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3FDB1-EAEB-4694-A2B7-29B30D62D816}">
  <dimension ref="A3:B10"/>
  <sheetViews>
    <sheetView zoomScale="110" workbookViewId="0">
      <selection activeCell="C13" sqref="C13"/>
    </sheetView>
  </sheetViews>
  <sheetFormatPr defaultRowHeight="14.5" x14ac:dyDescent="0.35"/>
  <cols>
    <col min="1" max="1" width="15.08984375" bestFit="1" customWidth="1"/>
    <col min="2" max="2" width="13.7265625" bestFit="1" customWidth="1"/>
    <col min="3" max="3" width="19.26953125" bestFit="1" customWidth="1"/>
    <col min="4" max="1001" width="10.90625" bestFit="1" customWidth="1"/>
    <col min="1002" max="1002" width="10.36328125" bestFit="1" customWidth="1"/>
  </cols>
  <sheetData>
    <row r="3" spans="1:2" x14ac:dyDescent="0.35">
      <c r="A3" s="1" t="s">
        <v>1051</v>
      </c>
      <c r="B3" t="s">
        <v>1054</v>
      </c>
    </row>
    <row r="4" spans="1:2" x14ac:dyDescent="0.35">
      <c r="A4" s="2" t="s">
        <v>1064</v>
      </c>
      <c r="B4">
        <v>35</v>
      </c>
    </row>
    <row r="5" spans="1:2" x14ac:dyDescent="0.35">
      <c r="A5" s="2" t="s">
        <v>1062</v>
      </c>
      <c r="B5">
        <v>30</v>
      </c>
    </row>
    <row r="6" spans="1:2" x14ac:dyDescent="0.35">
      <c r="A6" s="2" t="s">
        <v>1065</v>
      </c>
      <c r="B6">
        <v>29</v>
      </c>
    </row>
    <row r="7" spans="1:2" x14ac:dyDescent="0.35">
      <c r="A7" s="2" t="s">
        <v>1063</v>
      </c>
      <c r="B7">
        <v>25</v>
      </c>
    </row>
    <row r="8" spans="1:2" x14ac:dyDescent="0.35">
      <c r="A8" s="2" t="s">
        <v>1061</v>
      </c>
      <c r="B8">
        <v>881</v>
      </c>
    </row>
    <row r="9" spans="1:2" x14ac:dyDescent="0.35">
      <c r="A9" s="2"/>
    </row>
    <row r="10" spans="1:2" x14ac:dyDescent="0.35">
      <c r="A10" s="2" t="s">
        <v>1052</v>
      </c>
      <c r="B10">
        <v>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04403-64C2-47F8-9BFC-A25860DCBF46}">
  <dimension ref="A1"/>
  <sheetViews>
    <sheetView showGridLines="0" showRowColHeaders="0" topLeftCell="A18" zoomScale="58" workbookViewId="0">
      <selection activeCell="AE59" sqref="AE59"/>
      <extLst>
        <ext xmlns:xlsdti="http://schemas.microsoft.com/office/spreadsheetml/2023/showDataTypeIcons" uri="{77bfe23e-c014-4d31-8a63-9c772dbf06b6}">
          <xlsdti:showDataTypeIcons visible="0"/>
        </ext>
      </extLst>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DA5C4-2815-460A-A65D-830B5DA21976}">
  <dimension ref="A3:B14"/>
  <sheetViews>
    <sheetView workbookViewId="0">
      <selection activeCell="P2" sqref="P2"/>
    </sheetView>
  </sheetViews>
  <sheetFormatPr defaultRowHeight="14.5" x14ac:dyDescent="0.35"/>
  <cols>
    <col min="1" max="1" width="38.81640625" bestFit="1" customWidth="1"/>
    <col min="2" max="2" width="19.26953125" bestFit="1" customWidth="1"/>
    <col min="3" max="9" width="4.81640625" bestFit="1" customWidth="1"/>
    <col min="10" max="10" width="3.81640625" bestFit="1" customWidth="1"/>
    <col min="11" max="17" width="4.81640625" bestFit="1" customWidth="1"/>
    <col min="18" max="18" width="3.81640625" bestFit="1" customWidth="1"/>
    <col min="19" max="27" width="4.81640625" bestFit="1" customWidth="1"/>
    <col min="28" max="28" width="3.81640625" bestFit="1" customWidth="1"/>
    <col min="29" max="44" width="4.81640625" bestFit="1" customWidth="1"/>
    <col min="45" max="45" width="3.81640625" bestFit="1" customWidth="1"/>
    <col min="46" max="52" width="4.81640625" bestFit="1" customWidth="1"/>
    <col min="53" max="53" width="3.81640625" bestFit="1" customWidth="1"/>
    <col min="54" max="62" width="4.81640625" bestFit="1" customWidth="1"/>
    <col min="63" max="63" width="3.81640625" bestFit="1" customWidth="1"/>
    <col min="64" max="79" width="4.81640625" bestFit="1" customWidth="1"/>
    <col min="80" max="80" width="3.81640625" bestFit="1" customWidth="1"/>
    <col min="81" max="89" width="4.81640625" bestFit="1" customWidth="1"/>
    <col min="90" max="90" width="1.81640625" bestFit="1" customWidth="1"/>
    <col min="91" max="105" width="4.81640625" bestFit="1" customWidth="1"/>
    <col min="106" max="106" width="3.81640625" bestFit="1" customWidth="1"/>
    <col min="107" max="113" width="4.81640625" bestFit="1" customWidth="1"/>
    <col min="114" max="114" width="3.81640625" bestFit="1" customWidth="1"/>
    <col min="115" max="122" width="4.81640625" bestFit="1" customWidth="1"/>
    <col min="123" max="123" width="3.81640625" bestFit="1" customWidth="1"/>
    <col min="124" max="130" width="4.81640625" bestFit="1" customWidth="1"/>
    <col min="131" max="131" width="3.81640625" bestFit="1" customWidth="1"/>
    <col min="132" max="139" width="4.81640625" bestFit="1" customWidth="1"/>
    <col min="140" max="140" width="3.81640625" bestFit="1" customWidth="1"/>
    <col min="141" max="149" width="4.81640625" bestFit="1" customWidth="1"/>
    <col min="150" max="150" width="3.81640625" bestFit="1" customWidth="1"/>
    <col min="151" max="156" width="4.81640625" bestFit="1" customWidth="1"/>
    <col min="157" max="157" width="3.81640625" bestFit="1" customWidth="1"/>
    <col min="158" max="174" width="4.81640625" bestFit="1" customWidth="1"/>
    <col min="175" max="175" width="1.81640625" bestFit="1" customWidth="1"/>
    <col min="176" max="183" width="4.81640625" bestFit="1" customWidth="1"/>
    <col min="184" max="184" width="3.81640625" bestFit="1" customWidth="1"/>
    <col min="185" max="193" width="4.81640625" bestFit="1" customWidth="1"/>
    <col min="194" max="194" width="3.81640625" bestFit="1" customWidth="1"/>
    <col min="195" max="203" width="4.81640625" bestFit="1" customWidth="1"/>
    <col min="204" max="204" width="3.81640625" bestFit="1" customWidth="1"/>
    <col min="205" max="210" width="4.81640625" bestFit="1" customWidth="1"/>
    <col min="211" max="211" width="3.81640625" bestFit="1" customWidth="1"/>
    <col min="212" max="229" width="4.81640625" bestFit="1" customWidth="1"/>
    <col min="230" max="230" width="3.81640625" bestFit="1" customWidth="1"/>
    <col min="231" max="237" width="4.81640625" bestFit="1" customWidth="1"/>
    <col min="238" max="238" width="3.81640625" bestFit="1" customWidth="1"/>
    <col min="239" max="246" width="4.81640625" bestFit="1" customWidth="1"/>
    <col min="247" max="247" width="3.81640625" bestFit="1" customWidth="1"/>
    <col min="248" max="256" width="4.81640625" bestFit="1" customWidth="1"/>
    <col min="257" max="257" width="3.81640625" bestFit="1" customWidth="1"/>
    <col min="258" max="266" width="4.81640625" bestFit="1" customWidth="1"/>
    <col min="267" max="267" width="1.81640625" bestFit="1" customWidth="1"/>
    <col min="268" max="272" width="4.81640625" bestFit="1" customWidth="1"/>
    <col min="273" max="273" width="3.81640625" bestFit="1" customWidth="1"/>
    <col min="274" max="281" width="4.81640625" bestFit="1" customWidth="1"/>
    <col min="282" max="282" width="3.81640625" bestFit="1" customWidth="1"/>
    <col min="283" max="289" width="4.81640625" bestFit="1" customWidth="1"/>
    <col min="290" max="290" width="3.81640625" bestFit="1" customWidth="1"/>
    <col min="291" max="299" width="4.81640625" bestFit="1" customWidth="1"/>
    <col min="300" max="300" width="3.81640625" bestFit="1" customWidth="1"/>
    <col min="301" max="315" width="4.81640625" bestFit="1" customWidth="1"/>
    <col min="316" max="316" width="3.81640625" bestFit="1" customWidth="1"/>
    <col min="317" max="324" width="4.81640625" bestFit="1" customWidth="1"/>
    <col min="325" max="325" width="3.81640625" bestFit="1" customWidth="1"/>
    <col min="326" max="338" width="4.81640625" bestFit="1" customWidth="1"/>
    <col min="339" max="339" width="3.81640625" bestFit="1" customWidth="1"/>
    <col min="340" max="347" width="4.81640625" bestFit="1" customWidth="1"/>
    <col min="348" max="348" width="1.81640625" bestFit="1" customWidth="1"/>
    <col min="349" max="355" width="4.81640625" bestFit="1" customWidth="1"/>
    <col min="356" max="356" width="3.81640625" bestFit="1" customWidth="1"/>
    <col min="357" max="364" width="4.81640625" bestFit="1" customWidth="1"/>
    <col min="365" max="365" width="3.81640625" bestFit="1" customWidth="1"/>
    <col min="366" max="372" width="4.81640625" bestFit="1" customWidth="1"/>
    <col min="373" max="373" width="3.81640625" bestFit="1" customWidth="1"/>
    <col min="374" max="381" width="4.81640625" bestFit="1" customWidth="1"/>
    <col min="382" max="382" width="3.81640625" bestFit="1" customWidth="1"/>
    <col min="383" max="405" width="4.81640625" bestFit="1" customWidth="1"/>
    <col min="406" max="406" width="3.81640625" bestFit="1" customWidth="1"/>
    <col min="407" max="413" width="4.81640625" bestFit="1" customWidth="1"/>
    <col min="414" max="414" width="3.81640625" bestFit="1" customWidth="1"/>
    <col min="415" max="415" width="10.36328125" bestFit="1" customWidth="1"/>
    <col min="416" max="430" width="5.81640625" bestFit="1" customWidth="1"/>
    <col min="431" max="431" width="4.81640625" bestFit="1" customWidth="1"/>
    <col min="432" max="434" width="5.81640625" bestFit="1" customWidth="1"/>
    <col min="435" max="435" width="4.81640625" bestFit="1" customWidth="1"/>
    <col min="436" max="480" width="5.81640625" bestFit="1" customWidth="1"/>
    <col min="481" max="481" width="4.81640625" bestFit="1" customWidth="1"/>
    <col min="482" max="483" width="5.81640625" bestFit="1" customWidth="1"/>
    <col min="484" max="484" width="4.81640625" bestFit="1" customWidth="1"/>
    <col min="485" max="485" width="5.81640625" bestFit="1" customWidth="1"/>
    <col min="486" max="486" width="4.81640625" bestFit="1" customWidth="1"/>
    <col min="487" max="492" width="5.81640625" bestFit="1" customWidth="1"/>
    <col min="493" max="493" width="4.81640625" bestFit="1" customWidth="1"/>
    <col min="494" max="501" width="5.81640625" bestFit="1" customWidth="1"/>
    <col min="502" max="502" width="4.81640625" bestFit="1" customWidth="1"/>
    <col min="503" max="506" width="5.81640625" bestFit="1" customWidth="1"/>
    <col min="507" max="507" width="2.81640625" bestFit="1" customWidth="1"/>
    <col min="508" max="513" width="5.81640625" bestFit="1" customWidth="1"/>
    <col min="514" max="514" width="4.81640625" bestFit="1" customWidth="1"/>
    <col min="515" max="517" width="5.81640625" bestFit="1" customWidth="1"/>
    <col min="518" max="518" width="4.81640625" bestFit="1" customWidth="1"/>
    <col min="519" max="522" width="5.81640625" bestFit="1" customWidth="1"/>
    <col min="523" max="523" width="4.81640625" bestFit="1" customWidth="1"/>
    <col min="524" max="559" width="5.81640625" bestFit="1" customWidth="1"/>
    <col min="560" max="560" width="4.81640625" bestFit="1" customWidth="1"/>
    <col min="561" max="565" width="5.81640625" bestFit="1" customWidth="1"/>
    <col min="566" max="566" width="4.81640625" bestFit="1" customWidth="1"/>
    <col min="567" max="594" width="5.81640625" bestFit="1" customWidth="1"/>
    <col min="595" max="595" width="4.81640625" bestFit="1" customWidth="1"/>
    <col min="596" max="599" width="5.81640625" bestFit="1" customWidth="1"/>
    <col min="600" max="600" width="4.81640625" bestFit="1" customWidth="1"/>
    <col min="601" max="611" width="5.81640625" bestFit="1" customWidth="1"/>
    <col min="612" max="612" width="4.81640625" bestFit="1" customWidth="1"/>
    <col min="613" max="621" width="5.81640625" bestFit="1" customWidth="1"/>
    <col min="622" max="622" width="4.81640625" bestFit="1" customWidth="1"/>
    <col min="623" max="636" width="5.81640625" bestFit="1" customWidth="1"/>
    <col min="637" max="637" width="4.81640625" bestFit="1" customWidth="1"/>
    <col min="638" max="639" width="5.81640625" bestFit="1" customWidth="1"/>
    <col min="640" max="640" width="4.81640625" bestFit="1" customWidth="1"/>
    <col min="641" max="641" width="5.81640625" bestFit="1" customWidth="1"/>
    <col min="642" max="642" width="4.81640625" bestFit="1" customWidth="1"/>
    <col min="643" max="653" width="5.81640625" bestFit="1" customWidth="1"/>
    <col min="654" max="654" width="2.81640625" bestFit="1" customWidth="1"/>
    <col min="655" max="658" width="5.81640625" bestFit="1" customWidth="1"/>
    <col min="659" max="659" width="4.81640625" bestFit="1" customWidth="1"/>
    <col min="660" max="665" width="5.81640625" bestFit="1" customWidth="1"/>
    <col min="666" max="666" width="4.81640625" bestFit="1" customWidth="1"/>
    <col min="667" max="682" width="5.81640625" bestFit="1" customWidth="1"/>
    <col min="683" max="683" width="4.81640625" bestFit="1" customWidth="1"/>
    <col min="684" max="690" width="5.81640625" bestFit="1" customWidth="1"/>
    <col min="691" max="691" width="4.81640625" bestFit="1" customWidth="1"/>
    <col min="692" max="695" width="5.81640625" bestFit="1" customWidth="1"/>
    <col min="696" max="696" width="2.81640625" bestFit="1" customWidth="1"/>
    <col min="697" max="713" width="5.81640625" bestFit="1" customWidth="1"/>
    <col min="714" max="714" width="4.81640625" bestFit="1" customWidth="1"/>
    <col min="715" max="718" width="5.81640625" bestFit="1" customWidth="1"/>
    <col min="719" max="719" width="4.81640625" bestFit="1" customWidth="1"/>
    <col min="720" max="725" width="5.81640625" bestFit="1" customWidth="1"/>
    <col min="726" max="726" width="4.81640625" bestFit="1" customWidth="1"/>
    <col min="727" max="746" width="5.81640625" bestFit="1" customWidth="1"/>
    <col min="747" max="747" width="4.81640625" bestFit="1" customWidth="1"/>
    <col min="748" max="755" width="5.81640625" bestFit="1" customWidth="1"/>
    <col min="756" max="756" width="4.81640625" bestFit="1" customWidth="1"/>
    <col min="757" max="776" width="5.81640625" bestFit="1" customWidth="1"/>
    <col min="777" max="777" width="2.81640625" bestFit="1" customWidth="1"/>
    <col min="778" max="778" width="5.81640625" bestFit="1" customWidth="1"/>
    <col min="779" max="779" width="4.81640625" bestFit="1" customWidth="1"/>
    <col min="780" max="782" width="5.81640625" bestFit="1" customWidth="1"/>
    <col min="783" max="783" width="4.81640625" bestFit="1" customWidth="1"/>
    <col min="784" max="786" width="5.81640625" bestFit="1" customWidth="1"/>
    <col min="787" max="787" width="4.81640625" bestFit="1" customWidth="1"/>
    <col min="788" max="799" width="5.81640625" bestFit="1" customWidth="1"/>
    <col min="800" max="800" width="2.81640625" bestFit="1" customWidth="1"/>
    <col min="801" max="802" width="5.81640625" bestFit="1" customWidth="1"/>
    <col min="803" max="803" width="4.81640625" bestFit="1" customWidth="1"/>
    <col min="804" max="806" width="5.81640625" bestFit="1" customWidth="1"/>
    <col min="807" max="807" width="4.81640625" bestFit="1" customWidth="1"/>
    <col min="808" max="823" width="5.81640625" bestFit="1" customWidth="1"/>
    <col min="824" max="824" width="4.81640625" bestFit="1" customWidth="1"/>
    <col min="825" max="826" width="5.81640625" bestFit="1" customWidth="1"/>
    <col min="827" max="827" width="2.81640625" bestFit="1" customWidth="1"/>
    <col min="828" max="837" width="5.81640625" bestFit="1" customWidth="1"/>
    <col min="838" max="838" width="4.81640625" bestFit="1" customWidth="1"/>
    <col min="839" max="844" width="5.81640625" bestFit="1" customWidth="1"/>
    <col min="845" max="845" width="4.81640625" bestFit="1" customWidth="1"/>
    <col min="846" max="868" width="5.81640625" bestFit="1" customWidth="1"/>
    <col min="869" max="869" width="4.81640625" bestFit="1" customWidth="1"/>
    <col min="870" max="871" width="5.81640625" bestFit="1" customWidth="1"/>
    <col min="872" max="872" width="4.81640625" bestFit="1" customWidth="1"/>
    <col min="873" max="873" width="5.81640625" bestFit="1" customWidth="1"/>
    <col min="874" max="874" width="2.81640625" bestFit="1" customWidth="1"/>
    <col min="875" max="879" width="5.81640625" bestFit="1" customWidth="1"/>
    <col min="880" max="880" width="4.81640625" bestFit="1" customWidth="1"/>
    <col min="881" max="882" width="5.81640625" bestFit="1" customWidth="1"/>
    <col min="883" max="883" width="4.81640625" bestFit="1" customWidth="1"/>
    <col min="884" max="894" width="5.81640625" bestFit="1" customWidth="1"/>
    <col min="895" max="895" width="4.81640625" bestFit="1" customWidth="1"/>
    <col min="896" max="896" width="5.81640625" bestFit="1" customWidth="1"/>
    <col min="897" max="897" width="10.36328125" bestFit="1" customWidth="1"/>
  </cols>
  <sheetData>
    <row r="3" spans="1:2" x14ac:dyDescent="0.35">
      <c r="A3" s="1" t="s">
        <v>1051</v>
      </c>
      <c r="B3" t="s">
        <v>1053</v>
      </c>
    </row>
    <row r="4" spans="1:2" x14ac:dyDescent="0.35">
      <c r="A4" s="2" t="s">
        <v>1066</v>
      </c>
      <c r="B4">
        <v>756</v>
      </c>
    </row>
    <row r="5" spans="1:2" x14ac:dyDescent="0.35">
      <c r="A5" s="2" t="s">
        <v>1071</v>
      </c>
      <c r="B5">
        <v>32</v>
      </c>
    </row>
    <row r="6" spans="1:2" x14ac:dyDescent="0.35">
      <c r="A6" s="2" t="s">
        <v>1067</v>
      </c>
      <c r="B6">
        <v>30</v>
      </c>
    </row>
    <row r="7" spans="1:2" x14ac:dyDescent="0.35">
      <c r="A7" s="2" t="s">
        <v>1072</v>
      </c>
      <c r="B7">
        <v>28</v>
      </c>
    </row>
    <row r="8" spans="1:2" x14ac:dyDescent="0.35">
      <c r="A8" s="2" t="s">
        <v>1068</v>
      </c>
      <c r="B8">
        <v>29</v>
      </c>
    </row>
    <row r="9" spans="1:2" x14ac:dyDescent="0.35">
      <c r="A9" s="2" t="s">
        <v>1069</v>
      </c>
      <c r="B9">
        <v>26</v>
      </c>
    </row>
    <row r="10" spans="1:2" x14ac:dyDescent="0.35">
      <c r="A10" s="2" t="s">
        <v>1070</v>
      </c>
      <c r="B10">
        <v>34</v>
      </c>
    </row>
    <row r="11" spans="1:2" x14ac:dyDescent="0.35">
      <c r="A11" s="2" t="s">
        <v>1078</v>
      </c>
      <c r="B11">
        <v>31</v>
      </c>
    </row>
    <row r="12" spans="1:2" x14ac:dyDescent="0.35">
      <c r="A12" s="2" t="s">
        <v>1077</v>
      </c>
      <c r="B12">
        <v>33</v>
      </c>
    </row>
    <row r="13" spans="1:2" x14ac:dyDescent="0.35">
      <c r="A13" s="2" t="s">
        <v>1060</v>
      </c>
      <c r="B13">
        <v>1</v>
      </c>
    </row>
    <row r="14" spans="1:2" x14ac:dyDescent="0.35">
      <c r="A14" s="2" t="s">
        <v>1052</v>
      </c>
      <c r="B14">
        <v>1000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D0AB5-473B-43DA-895E-D362E44CE94A}">
  <dimension ref="A3:C20"/>
  <sheetViews>
    <sheetView workbookViewId="0">
      <selection activeCell="L10" sqref="L10"/>
    </sheetView>
  </sheetViews>
  <sheetFormatPr defaultRowHeight="14.5" x14ac:dyDescent="0.35"/>
  <sheetData>
    <row r="3" spans="1:3" x14ac:dyDescent="0.35">
      <c r="A3" s="3"/>
      <c r="B3" s="4"/>
      <c r="C3" s="5"/>
    </row>
    <row r="4" spans="1:3" x14ac:dyDescent="0.35">
      <c r="A4" s="6"/>
      <c r="B4" s="7"/>
      <c r="C4" s="8"/>
    </row>
    <row r="5" spans="1:3" x14ac:dyDescent="0.35">
      <c r="A5" s="6"/>
      <c r="B5" s="7"/>
      <c r="C5" s="8"/>
    </row>
    <row r="6" spans="1:3" x14ac:dyDescent="0.35">
      <c r="A6" s="6"/>
      <c r="B6" s="7"/>
      <c r="C6" s="8"/>
    </row>
    <row r="7" spans="1:3" x14ac:dyDescent="0.35">
      <c r="A7" s="6"/>
      <c r="B7" s="7"/>
      <c r="C7" s="8"/>
    </row>
    <row r="8" spans="1:3" x14ac:dyDescent="0.35">
      <c r="A8" s="6"/>
      <c r="B8" s="7"/>
      <c r="C8" s="8"/>
    </row>
    <row r="9" spans="1:3" x14ac:dyDescent="0.35">
      <c r="A9" s="6"/>
      <c r="B9" s="7"/>
      <c r="C9" s="8"/>
    </row>
    <row r="10" spans="1:3" x14ac:dyDescent="0.35">
      <c r="A10" s="6"/>
      <c r="B10" s="7"/>
      <c r="C10" s="8"/>
    </row>
    <row r="11" spans="1:3" x14ac:dyDescent="0.35">
      <c r="A11" s="6"/>
      <c r="B11" s="7"/>
      <c r="C11" s="8"/>
    </row>
    <row r="12" spans="1:3" x14ac:dyDescent="0.35">
      <c r="A12" s="6"/>
      <c r="B12" s="7"/>
      <c r="C12" s="8"/>
    </row>
    <row r="13" spans="1:3" x14ac:dyDescent="0.35">
      <c r="A13" s="6"/>
      <c r="B13" s="7"/>
      <c r="C13" s="8"/>
    </row>
    <row r="14" spans="1:3" x14ac:dyDescent="0.35">
      <c r="A14" s="6"/>
      <c r="B14" s="7"/>
      <c r="C14" s="8"/>
    </row>
    <row r="15" spans="1:3" x14ac:dyDescent="0.35">
      <c r="A15" s="6"/>
      <c r="B15" s="7"/>
      <c r="C15" s="8"/>
    </row>
    <row r="16" spans="1:3" x14ac:dyDescent="0.35">
      <c r="A16" s="6"/>
      <c r="B16" s="7"/>
      <c r="C16" s="8"/>
    </row>
    <row r="17" spans="1:3" x14ac:dyDescent="0.35">
      <c r="A17" s="6"/>
      <c r="B17" s="7"/>
      <c r="C17" s="8"/>
    </row>
    <row r="18" spans="1:3" x14ac:dyDescent="0.35">
      <c r="A18" s="6"/>
      <c r="B18" s="7"/>
      <c r="C18" s="8"/>
    </row>
    <row r="19" spans="1:3" x14ac:dyDescent="0.35">
      <c r="A19" s="6"/>
      <c r="B19" s="7"/>
      <c r="C19" s="8"/>
    </row>
    <row r="20" spans="1:3" x14ac:dyDescent="0.35">
      <c r="A20" s="9"/>
      <c r="B20" s="10"/>
      <c r="C20" s="1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4039C-9F07-4C0F-8A8E-B82EE036FF36}">
  <dimension ref="A1:T1003"/>
  <sheetViews>
    <sheetView tabSelected="1" topLeftCell="G1" zoomScale="106" workbookViewId="0">
      <selection activeCell="H5" sqref="H5"/>
    </sheetView>
  </sheetViews>
  <sheetFormatPr defaultRowHeight="14.5" x14ac:dyDescent="0.35"/>
  <cols>
    <col min="1" max="1" width="20.26953125" bestFit="1" customWidth="1"/>
    <col min="2" max="2" width="12.36328125" bestFit="1" customWidth="1"/>
    <col min="3" max="3" width="9" bestFit="1" customWidth="1"/>
    <col min="4" max="4" width="13.08984375" bestFit="1" customWidth="1"/>
    <col min="5" max="5" width="8.453125" bestFit="1" customWidth="1"/>
    <col min="6" max="6" width="7.81640625" bestFit="1" customWidth="1"/>
    <col min="7" max="7" width="12.54296875" bestFit="1" customWidth="1"/>
    <col min="8" max="8" width="17.26953125" bestFit="1" customWidth="1"/>
    <col min="9" max="9" width="20.26953125" bestFit="1" customWidth="1"/>
    <col min="10" max="10" width="17.6328125" bestFit="1" customWidth="1"/>
    <col min="11" max="11" width="38.81640625" bestFit="1" customWidth="1"/>
    <col min="12" max="12" width="18.81640625" bestFit="1" customWidth="1"/>
  </cols>
  <sheetData>
    <row r="1" spans="1:20" x14ac:dyDescent="0.35">
      <c r="A1" t="s">
        <v>1046</v>
      </c>
      <c r="B1" t="s">
        <v>1045</v>
      </c>
      <c r="C1" t="s">
        <v>0</v>
      </c>
      <c r="D1" t="s">
        <v>1044</v>
      </c>
      <c r="E1" t="s">
        <v>1043</v>
      </c>
      <c r="F1" t="s">
        <v>1</v>
      </c>
      <c r="G1" t="s">
        <v>1047</v>
      </c>
      <c r="H1" t="s">
        <v>1048</v>
      </c>
      <c r="I1" t="s">
        <v>1049</v>
      </c>
      <c r="J1" t="s">
        <v>1050</v>
      </c>
      <c r="K1" t="s">
        <v>1059</v>
      </c>
      <c r="L1" t="s">
        <v>1079</v>
      </c>
      <c r="T1" t="s">
        <v>1073</v>
      </c>
    </row>
    <row r="2" spans="1:20" hidden="1" x14ac:dyDescent="0.35">
      <c r="A2" t="s">
        <v>2</v>
      </c>
      <c r="B2" t="s">
        <v>3</v>
      </c>
      <c r="C2" t="s">
        <v>4</v>
      </c>
      <c r="D2">
        <v>90.85</v>
      </c>
      <c r="E2" t="s">
        <v>5</v>
      </c>
      <c r="F2">
        <v>5.72</v>
      </c>
      <c r="G2" t="s">
        <v>6</v>
      </c>
      <c r="H2" t="str">
        <f t="shared" ref="H2:H65" si="0">IF(E2="Pass","Passed",
IF(G2="1st Year","M1",
IF(G2="2nd Year","DBMS",
IF(G2="3rd Year","Machine Learning",
IF(G2="4th Year","Deep Learning","")))))</f>
        <v>Passed</v>
      </c>
      <c r="I2" t="str">
        <f>IF(AND(Sheet1[[#This Row],[Attendance ]]&gt;65,Sheet1[[#This Row],[Attendance ]]&lt;75),"Yes","No")</f>
        <v>No</v>
      </c>
      <c r="J2" t="str">
        <f>IF(Sheet1[[#This Row],[Attendance ]]&lt;65,"Yes","No")</f>
        <v>No</v>
      </c>
    </row>
    <row r="3" spans="1:20" hidden="1" x14ac:dyDescent="0.35">
      <c r="A3" t="s">
        <v>7</v>
      </c>
      <c r="B3" t="s">
        <v>8</v>
      </c>
      <c r="C3" t="s">
        <v>9</v>
      </c>
      <c r="D3">
        <v>88.84</v>
      </c>
      <c r="E3" t="s">
        <v>10</v>
      </c>
      <c r="F3">
        <v>8.67</v>
      </c>
      <c r="G3" t="s">
        <v>11</v>
      </c>
      <c r="H3" t="str">
        <f t="shared" si="0"/>
        <v>M1</v>
      </c>
      <c r="I3" t="str">
        <f>IF(AND(Sheet1[[#This Row],[Attendance ]]&gt;65,Sheet1[[#This Row],[Attendance ]]&lt;75),"Yes","No")</f>
        <v>No</v>
      </c>
      <c r="J3" t="str">
        <f>IF(Sheet1[[#This Row],[Attendance ]]&lt;65,"Yes","No")</f>
        <v>No</v>
      </c>
    </row>
    <row r="4" spans="1:20" x14ac:dyDescent="0.35">
      <c r="A4" t="s">
        <v>7</v>
      </c>
      <c r="B4" t="s">
        <v>12</v>
      </c>
      <c r="C4" t="s">
        <v>13</v>
      </c>
      <c r="D4">
        <v>69.05</v>
      </c>
      <c r="E4" t="s">
        <v>5</v>
      </c>
      <c r="F4">
        <v>6.26</v>
      </c>
      <c r="G4" t="s">
        <v>6</v>
      </c>
      <c r="H4" t="str">
        <f t="shared" si="0"/>
        <v>Passed</v>
      </c>
      <c r="I4" t="str">
        <f>IF(AND(Sheet1[[#This Row],[Attendance ]]&gt;65,Sheet1[[#This Row],[Attendance ]]&lt;75),"Yes","No")</f>
        <v>Yes</v>
      </c>
      <c r="J4" t="str">
        <f>IF(Sheet1[[#This Row],[Attendance ]]&lt;65,"Yes","No")</f>
        <v>No</v>
      </c>
      <c r="K4" t="str">
        <f>CHOOSE(MOD(ROW()-2,8)+1,
"Kadapa",
"Ananthapur",
"Rayachoti",
"Nellore",
"Chittoor",
"Madanapalli",
"Rajampeta",
"Tirupati")</f>
        <v>Rayachoti</v>
      </c>
      <c r="L4" t="str">
        <f>IF(AND(G2="4th Year",E2="Pass",F2&gt;=7),"Yes","No")</f>
        <v>No</v>
      </c>
    </row>
    <row r="5" spans="1:20" x14ac:dyDescent="0.35">
      <c r="A5" t="s">
        <v>14</v>
      </c>
      <c r="B5" t="s">
        <v>15</v>
      </c>
      <c r="C5" t="s">
        <v>9</v>
      </c>
      <c r="D5">
        <v>65.099999999999994</v>
      </c>
      <c r="E5" t="s">
        <v>5</v>
      </c>
      <c r="F5">
        <v>5.18</v>
      </c>
      <c r="G5" t="s">
        <v>11</v>
      </c>
      <c r="H5" t="str">
        <f t="shared" si="0"/>
        <v>Passed</v>
      </c>
      <c r="I5" t="str">
        <f>IF(AND(Sheet1[[#This Row],[Attendance ]]&gt;65,Sheet1[[#This Row],[Attendance ]]&lt;75),"Yes","No")</f>
        <v>Yes</v>
      </c>
      <c r="J5" t="str">
        <f>IF(Sheet1[[#This Row],[Attendance ]]&lt;65,"Yes","No")</f>
        <v>No</v>
      </c>
      <c r="K5" t="str">
        <f>CHOOSE(MOD(ROW()-2,8)+1,
"Kadapa",
"Ananthapur",
"Rayachoti",
"Nellore",
"Chittoor",
"Madanapalli",
"Rajampeta",
"Tirupati")</f>
        <v>Nellore</v>
      </c>
      <c r="L5" t="str">
        <f>IF(AND(G3="4th Year",E3="Pass",F3&gt;=7),"Yes","No")</f>
        <v>No</v>
      </c>
    </row>
    <row r="6" spans="1:20" hidden="1" x14ac:dyDescent="0.35">
      <c r="A6" t="s">
        <v>16</v>
      </c>
      <c r="B6" t="s">
        <v>17</v>
      </c>
      <c r="C6" t="s">
        <v>13</v>
      </c>
      <c r="D6">
        <v>77.52</v>
      </c>
      <c r="E6" t="s">
        <v>5</v>
      </c>
      <c r="F6">
        <v>8.27</v>
      </c>
      <c r="G6" t="s">
        <v>11</v>
      </c>
      <c r="H6" t="str">
        <f t="shared" si="0"/>
        <v>Passed</v>
      </c>
      <c r="I6" t="str">
        <f>IF(AND(Sheet1[[#This Row],[Attendance ]]&gt;65,Sheet1[[#This Row],[Attendance ]]&lt;75),"Yes","No")</f>
        <v>No</v>
      </c>
      <c r="J6" t="str">
        <f>IF(Sheet1[[#This Row],[Attendance ]]&lt;65,"Yes","No")</f>
        <v>No</v>
      </c>
      <c r="K6" t="s">
        <v>1060</v>
      </c>
    </row>
    <row r="7" spans="1:20" x14ac:dyDescent="0.35">
      <c r="A7" t="s">
        <v>18</v>
      </c>
      <c r="B7" t="s">
        <v>19</v>
      </c>
      <c r="C7" t="s">
        <v>20</v>
      </c>
      <c r="D7">
        <v>73.13</v>
      </c>
      <c r="E7" t="s">
        <v>10</v>
      </c>
      <c r="F7">
        <v>6.56</v>
      </c>
      <c r="G7" t="s">
        <v>6</v>
      </c>
      <c r="H7" t="str">
        <f t="shared" si="0"/>
        <v>DBMS</v>
      </c>
      <c r="I7" t="str">
        <f>IF(AND(Sheet1[[#This Row],[Attendance ]]&gt;65,Sheet1[[#This Row],[Attendance ]]&lt;75),"Yes","No")</f>
        <v>Yes</v>
      </c>
      <c r="J7" t="str">
        <f>IF(Sheet1[[#This Row],[Attendance ]]&lt;65,"Yes","No")</f>
        <v>No</v>
      </c>
      <c r="K7" t="str">
        <f>CHOOSE(MOD(ROW()-2,8)+1,
"Kadapa",
"Ananthapur",
"Rayachoti",
"Nellore",
"Chittoor",
"Madanapalli",
"Rajampeta",
"Tirupati")</f>
        <v>Madanapalli</v>
      </c>
      <c r="L7" t="str">
        <f>IF(AND(G5="4th Year",E5="Pass",F5&gt;=7),"Yes","No")</f>
        <v>No</v>
      </c>
    </row>
    <row r="8" spans="1:20" hidden="1" x14ac:dyDescent="0.35">
      <c r="A8" t="s">
        <v>21</v>
      </c>
      <c r="B8" t="s">
        <v>22</v>
      </c>
      <c r="C8" t="s">
        <v>23</v>
      </c>
      <c r="D8">
        <v>82.56</v>
      </c>
      <c r="E8" t="s">
        <v>5</v>
      </c>
      <c r="F8">
        <v>7.15</v>
      </c>
      <c r="G8" t="s">
        <v>11</v>
      </c>
      <c r="H8" t="str">
        <f t="shared" si="0"/>
        <v>Passed</v>
      </c>
      <c r="I8" t="str">
        <f>IF(AND(Sheet1[[#This Row],[Attendance ]]&gt;65,Sheet1[[#This Row],[Attendance ]]&lt;75),"Yes","No")</f>
        <v>No</v>
      </c>
      <c r="J8" t="str">
        <f>IF(Sheet1[[#This Row],[Attendance ]]&lt;65,"Yes","No")</f>
        <v>No</v>
      </c>
    </row>
    <row r="9" spans="1:20" hidden="1" x14ac:dyDescent="0.35">
      <c r="A9" t="s">
        <v>24</v>
      </c>
      <c r="B9" t="s">
        <v>25</v>
      </c>
      <c r="C9" t="s">
        <v>20</v>
      </c>
      <c r="D9">
        <v>61.53</v>
      </c>
      <c r="E9" t="s">
        <v>5</v>
      </c>
      <c r="F9">
        <v>8.76</v>
      </c>
      <c r="G9" t="s">
        <v>26</v>
      </c>
      <c r="H9" t="str">
        <f t="shared" si="0"/>
        <v>Passed</v>
      </c>
      <c r="I9" t="str">
        <f>IF(AND(Sheet1[[#This Row],[Attendance ]]&gt;65,Sheet1[[#This Row],[Attendance ]]&lt;75),"Yes","No")</f>
        <v>No</v>
      </c>
      <c r="J9" t="str">
        <f>IF(Sheet1[[#This Row],[Attendance ]]&lt;65,"Yes","No")</f>
        <v>Yes</v>
      </c>
    </row>
    <row r="10" spans="1:20" x14ac:dyDescent="0.35">
      <c r="A10" t="s">
        <v>27</v>
      </c>
      <c r="B10" t="s">
        <v>22</v>
      </c>
      <c r="C10" t="s">
        <v>9</v>
      </c>
      <c r="D10">
        <v>74.72</v>
      </c>
      <c r="E10" t="s">
        <v>5</v>
      </c>
      <c r="F10">
        <v>5.97</v>
      </c>
      <c r="G10" t="s">
        <v>28</v>
      </c>
      <c r="H10" t="str">
        <f t="shared" si="0"/>
        <v>Passed</v>
      </c>
      <c r="I10" t="str">
        <f>IF(AND(Sheet1[[#This Row],[Attendance ]]&gt;65,Sheet1[[#This Row],[Attendance ]]&lt;75),"Yes","No")</f>
        <v>Yes</v>
      </c>
      <c r="J10" t="str">
        <f>IF(Sheet1[[#This Row],[Attendance ]]&lt;65,"Yes","No")</f>
        <v>No</v>
      </c>
      <c r="K10" t="str">
        <f>CHOOSE(MOD(ROW()-2,8)+1,
"Kadapa",
"Ananthapur",
"Rayachoti",
"Nellore",
"Chittoor",
"Madanapalli",
"Rajampeta",
"Tirupati")</f>
        <v>Kadapa</v>
      </c>
      <c r="L10" t="str">
        <f>IF(AND(G8="4th Year",E8="Pass",F8&gt;=7),"Yes","No")</f>
        <v>No</v>
      </c>
    </row>
    <row r="11" spans="1:20" hidden="1" x14ac:dyDescent="0.35">
      <c r="A11" t="s">
        <v>29</v>
      </c>
      <c r="B11" t="s">
        <v>30</v>
      </c>
      <c r="C11" t="s">
        <v>9</v>
      </c>
      <c r="D11">
        <v>90.24</v>
      </c>
      <c r="E11" t="s">
        <v>5</v>
      </c>
      <c r="F11">
        <v>8.51</v>
      </c>
      <c r="G11" t="s">
        <v>6</v>
      </c>
      <c r="H11" t="str">
        <f t="shared" si="0"/>
        <v>Passed</v>
      </c>
      <c r="I11" t="str">
        <f>IF(AND(Sheet1[[#This Row],[Attendance ]]&gt;65,Sheet1[[#This Row],[Attendance ]]&lt;75),"Yes","No")</f>
        <v>No</v>
      </c>
      <c r="J11" t="str">
        <f>IF(Sheet1[[#This Row],[Attendance ]]&lt;65,"Yes","No")</f>
        <v>No</v>
      </c>
    </row>
    <row r="12" spans="1:20" x14ac:dyDescent="0.35">
      <c r="A12" t="s">
        <v>31</v>
      </c>
      <c r="B12" t="s">
        <v>32</v>
      </c>
      <c r="C12" t="s">
        <v>9</v>
      </c>
      <c r="D12">
        <v>68.02</v>
      </c>
      <c r="E12" t="s">
        <v>5</v>
      </c>
      <c r="F12">
        <v>8.35</v>
      </c>
      <c r="G12" t="s">
        <v>6</v>
      </c>
      <c r="H12" t="str">
        <f t="shared" si="0"/>
        <v>Passed</v>
      </c>
      <c r="I12" t="str">
        <f>IF(AND(Sheet1[[#This Row],[Attendance ]]&gt;65,Sheet1[[#This Row],[Attendance ]]&lt;75),"Yes","No")</f>
        <v>Yes</v>
      </c>
      <c r="J12" t="str">
        <f>IF(Sheet1[[#This Row],[Attendance ]]&lt;65,"Yes","No")</f>
        <v>No</v>
      </c>
      <c r="K12" t="str">
        <f>CHOOSE(MOD(ROW()-2,8)+1,
"Kadapa",
"Ananthapur",
"Rayachoti",
"Nellore",
"Chittoor",
"Madanapalli",
"Rajampeta",
"Tirupati")</f>
        <v>Rayachoti</v>
      </c>
      <c r="L12" t="str">
        <f>IF(AND(G10="4th Year",E10="Pass",F10&gt;=7),"Yes","No")</f>
        <v>No</v>
      </c>
    </row>
    <row r="13" spans="1:20" hidden="1" x14ac:dyDescent="0.35">
      <c r="A13" t="s">
        <v>33</v>
      </c>
      <c r="B13" t="s">
        <v>34</v>
      </c>
      <c r="C13" t="s">
        <v>35</v>
      </c>
      <c r="D13">
        <v>78</v>
      </c>
      <c r="E13" t="s">
        <v>5</v>
      </c>
      <c r="F13">
        <v>9.07</v>
      </c>
      <c r="G13" t="s">
        <v>28</v>
      </c>
      <c r="H13" t="str">
        <f t="shared" si="0"/>
        <v>Passed</v>
      </c>
      <c r="I13" t="str">
        <f>IF(AND(Sheet1[[#This Row],[Attendance ]]&gt;65,Sheet1[[#This Row],[Attendance ]]&lt;75),"Yes","No")</f>
        <v>No</v>
      </c>
      <c r="J13" t="str">
        <f>IF(Sheet1[[#This Row],[Attendance ]]&lt;65,"Yes","No")</f>
        <v>No</v>
      </c>
    </row>
    <row r="14" spans="1:20" hidden="1" x14ac:dyDescent="0.35">
      <c r="A14" t="s">
        <v>36</v>
      </c>
      <c r="B14" t="s">
        <v>37</v>
      </c>
      <c r="C14" t="s">
        <v>13</v>
      </c>
      <c r="D14">
        <v>81.760000000000005</v>
      </c>
      <c r="E14" t="s">
        <v>5</v>
      </c>
      <c r="F14">
        <v>6.66</v>
      </c>
      <c r="G14" t="s">
        <v>26</v>
      </c>
      <c r="H14" t="str">
        <f t="shared" si="0"/>
        <v>Passed</v>
      </c>
      <c r="I14" t="str">
        <f>IF(AND(Sheet1[[#This Row],[Attendance ]]&gt;65,Sheet1[[#This Row],[Attendance ]]&lt;75),"Yes","No")</f>
        <v>No</v>
      </c>
      <c r="J14" t="str">
        <f>IF(Sheet1[[#This Row],[Attendance ]]&lt;65,"Yes","No")</f>
        <v>No</v>
      </c>
    </row>
    <row r="15" spans="1:20" x14ac:dyDescent="0.35">
      <c r="A15" t="s">
        <v>38</v>
      </c>
      <c r="B15" t="s">
        <v>39</v>
      </c>
      <c r="C15" t="s">
        <v>20</v>
      </c>
      <c r="D15">
        <v>70.3</v>
      </c>
      <c r="E15" t="s">
        <v>5</v>
      </c>
      <c r="F15">
        <v>6.46</v>
      </c>
      <c r="G15" t="s">
        <v>6</v>
      </c>
      <c r="H15" t="str">
        <f t="shared" si="0"/>
        <v>Passed</v>
      </c>
      <c r="I15" t="str">
        <f>IF(AND(Sheet1[[#This Row],[Attendance ]]&gt;65,Sheet1[[#This Row],[Attendance ]]&lt;75),"Yes","No")</f>
        <v>Yes</v>
      </c>
      <c r="J15" t="str">
        <f>IF(Sheet1[[#This Row],[Attendance ]]&lt;65,"Yes","No")</f>
        <v>No</v>
      </c>
      <c r="K15" t="str">
        <f>CHOOSE(MOD(ROW()-2,8)+1,
"Kadapa",
"Ananthapur",
"Rayachoti",
"Nellore",
"Chittoor",
"Madanapalli",
"Rajampeta",
"Tirupati")</f>
        <v>Madanapalli</v>
      </c>
      <c r="L15" t="str">
        <f>IF(AND(G13="4th Year",E13="Pass",F13&gt;=7),"Yes","No")</f>
        <v>No</v>
      </c>
      <c r="O15" t="s">
        <v>1080</v>
      </c>
    </row>
    <row r="16" spans="1:20" hidden="1" x14ac:dyDescent="0.35">
      <c r="A16" t="s">
        <v>40</v>
      </c>
      <c r="B16" t="s">
        <v>15</v>
      </c>
      <c r="C16" t="s">
        <v>4</v>
      </c>
      <c r="D16">
        <v>86.68</v>
      </c>
      <c r="E16" t="s">
        <v>5</v>
      </c>
      <c r="F16">
        <v>9.08</v>
      </c>
      <c r="G16" t="s">
        <v>28</v>
      </c>
      <c r="H16" t="str">
        <f t="shared" si="0"/>
        <v>Passed</v>
      </c>
      <c r="I16" t="str">
        <f>IF(AND(Sheet1[[#This Row],[Attendance ]]&gt;65,Sheet1[[#This Row],[Attendance ]]&lt;75),"Yes","No")</f>
        <v>No</v>
      </c>
      <c r="J16" t="str">
        <f>IF(Sheet1[[#This Row],[Attendance ]]&lt;65,"Yes","No")</f>
        <v>No</v>
      </c>
    </row>
    <row r="17" spans="1:18" x14ac:dyDescent="0.35">
      <c r="A17" t="s">
        <v>41</v>
      </c>
      <c r="B17" t="s">
        <v>30</v>
      </c>
      <c r="C17" t="s">
        <v>9</v>
      </c>
      <c r="D17">
        <v>68.25</v>
      </c>
      <c r="E17" t="s">
        <v>5</v>
      </c>
      <c r="F17">
        <v>8.6</v>
      </c>
      <c r="G17" t="s">
        <v>26</v>
      </c>
      <c r="H17" t="str">
        <f t="shared" si="0"/>
        <v>Passed</v>
      </c>
      <c r="I17" t="str">
        <f>IF(AND(Sheet1[[#This Row],[Attendance ]]&gt;65,Sheet1[[#This Row],[Attendance ]]&lt;75),"Yes","No")</f>
        <v>Yes</v>
      </c>
      <c r="J17" t="str">
        <f>IF(Sheet1[[#This Row],[Attendance ]]&lt;65,"Yes","No")</f>
        <v>No</v>
      </c>
      <c r="K17" t="str">
        <f>CHOOSE(MOD(ROW()-2,8)+1,
"Kadapa",
"Ananthapur",
"Rayachoti",
"Nellore",
"Chittoor",
"Madanapalli",
"Rajampeta",
"Tirupati")</f>
        <v>Tirupati</v>
      </c>
      <c r="L17" t="str">
        <f>IF(AND(G15="4th Year",E15="Pass",F15&gt;=7),"Yes","No")</f>
        <v>No</v>
      </c>
      <c r="O17">
        <f>COUNTA(L4:L1001)</f>
        <v>243</v>
      </c>
    </row>
    <row r="18" spans="1:18" hidden="1" x14ac:dyDescent="0.35">
      <c r="A18" t="s">
        <v>42</v>
      </c>
      <c r="B18" t="s">
        <v>43</v>
      </c>
      <c r="C18" t="s">
        <v>35</v>
      </c>
      <c r="D18">
        <v>62.95</v>
      </c>
      <c r="E18" t="s">
        <v>10</v>
      </c>
      <c r="F18">
        <v>8.69</v>
      </c>
      <c r="G18" t="s">
        <v>11</v>
      </c>
      <c r="H18" t="str">
        <f t="shared" si="0"/>
        <v>M1</v>
      </c>
      <c r="I18" t="str">
        <f>IF(AND(Sheet1[[#This Row],[Attendance ]]&gt;65,Sheet1[[#This Row],[Attendance ]]&lt;75),"Yes","No")</f>
        <v>No</v>
      </c>
      <c r="J18" t="str">
        <f>IF(Sheet1[[#This Row],[Attendance ]]&lt;65,"Yes","No")</f>
        <v>Yes</v>
      </c>
    </row>
    <row r="19" spans="1:18" hidden="1" x14ac:dyDescent="0.35">
      <c r="A19" t="s">
        <v>44</v>
      </c>
      <c r="B19" t="s">
        <v>45</v>
      </c>
      <c r="C19" t="s">
        <v>20</v>
      </c>
      <c r="D19">
        <v>78.7</v>
      </c>
      <c r="E19" t="s">
        <v>5</v>
      </c>
      <c r="F19">
        <v>7.04</v>
      </c>
      <c r="G19" t="s">
        <v>28</v>
      </c>
      <c r="H19" t="str">
        <f t="shared" si="0"/>
        <v>Passed</v>
      </c>
      <c r="I19" t="str">
        <f>IF(AND(Sheet1[[#This Row],[Attendance ]]&gt;65,Sheet1[[#This Row],[Attendance ]]&lt;75),"Yes","No")</f>
        <v>No</v>
      </c>
      <c r="J19" t="str">
        <f>IF(Sheet1[[#This Row],[Attendance ]]&lt;65,"Yes","No")</f>
        <v>No</v>
      </c>
    </row>
    <row r="20" spans="1:18" hidden="1" x14ac:dyDescent="0.35">
      <c r="A20" t="s">
        <v>46</v>
      </c>
      <c r="B20" t="s">
        <v>19</v>
      </c>
      <c r="C20" t="s">
        <v>23</v>
      </c>
      <c r="D20">
        <v>89.76</v>
      </c>
      <c r="E20" t="s">
        <v>5</v>
      </c>
      <c r="F20">
        <v>8.0399999999999991</v>
      </c>
      <c r="G20" t="s">
        <v>28</v>
      </c>
      <c r="H20" t="str">
        <f t="shared" si="0"/>
        <v>Passed</v>
      </c>
      <c r="I20" t="str">
        <f>IF(AND(Sheet1[[#This Row],[Attendance ]]&gt;65,Sheet1[[#This Row],[Attendance ]]&lt;75),"Yes","No")</f>
        <v>No</v>
      </c>
      <c r="J20" t="str">
        <f>IF(Sheet1[[#This Row],[Attendance ]]&lt;65,"Yes","No")</f>
        <v>No</v>
      </c>
    </row>
    <row r="21" spans="1:18" hidden="1" x14ac:dyDescent="0.35">
      <c r="A21" t="s">
        <v>47</v>
      </c>
      <c r="B21" t="s">
        <v>45</v>
      </c>
      <c r="C21" t="s">
        <v>13</v>
      </c>
      <c r="D21">
        <v>86.41</v>
      </c>
      <c r="E21" t="s">
        <v>5</v>
      </c>
      <c r="F21">
        <v>5.31</v>
      </c>
      <c r="G21" t="s">
        <v>26</v>
      </c>
      <c r="H21" t="str">
        <f t="shared" si="0"/>
        <v>Passed</v>
      </c>
      <c r="I21" t="str">
        <f>IF(AND(Sheet1[[#This Row],[Attendance ]]&gt;65,Sheet1[[#This Row],[Attendance ]]&lt;75),"Yes","No")</f>
        <v>No</v>
      </c>
      <c r="J21" t="str">
        <f>IF(Sheet1[[#This Row],[Attendance ]]&lt;65,"Yes","No")</f>
        <v>No</v>
      </c>
    </row>
    <row r="22" spans="1:18" hidden="1" x14ac:dyDescent="0.35">
      <c r="A22" t="s">
        <v>48</v>
      </c>
      <c r="B22" t="s">
        <v>3</v>
      </c>
      <c r="C22" t="s">
        <v>13</v>
      </c>
      <c r="D22">
        <v>62.78</v>
      </c>
      <c r="E22" t="s">
        <v>5</v>
      </c>
      <c r="F22">
        <v>7.91</v>
      </c>
      <c r="G22" t="s">
        <v>26</v>
      </c>
      <c r="H22" t="str">
        <f t="shared" si="0"/>
        <v>Passed</v>
      </c>
      <c r="I22" t="str">
        <f>IF(AND(Sheet1[[#This Row],[Attendance ]]&gt;65,Sheet1[[#This Row],[Attendance ]]&lt;75),"Yes","No")</f>
        <v>No</v>
      </c>
      <c r="J22" t="str">
        <f>IF(Sheet1[[#This Row],[Attendance ]]&lt;65,"Yes","No")</f>
        <v>Yes</v>
      </c>
    </row>
    <row r="23" spans="1:18" hidden="1" x14ac:dyDescent="0.35">
      <c r="A23" t="s">
        <v>49</v>
      </c>
      <c r="B23" t="s">
        <v>45</v>
      </c>
      <c r="C23" t="s">
        <v>20</v>
      </c>
      <c r="D23">
        <v>89.95</v>
      </c>
      <c r="E23" t="s">
        <v>5</v>
      </c>
      <c r="F23">
        <v>9.3000000000000007</v>
      </c>
      <c r="G23" t="s">
        <v>26</v>
      </c>
      <c r="H23" t="str">
        <f t="shared" si="0"/>
        <v>Passed</v>
      </c>
      <c r="I23" t="str">
        <f>IF(AND(Sheet1[[#This Row],[Attendance ]]&gt;65,Sheet1[[#This Row],[Attendance ]]&lt;75),"Yes","No")</f>
        <v>No</v>
      </c>
      <c r="J23" t="str">
        <f>IF(Sheet1[[#This Row],[Attendance ]]&lt;65,"Yes","No")</f>
        <v>No</v>
      </c>
    </row>
    <row r="24" spans="1:18" x14ac:dyDescent="0.35">
      <c r="A24" t="s">
        <v>50</v>
      </c>
      <c r="B24" t="s">
        <v>51</v>
      </c>
      <c r="C24" t="s">
        <v>23</v>
      </c>
      <c r="D24">
        <v>71.47</v>
      </c>
      <c r="E24" t="s">
        <v>5</v>
      </c>
      <c r="F24">
        <v>8.36</v>
      </c>
      <c r="G24" t="s">
        <v>26</v>
      </c>
      <c r="H24" t="str">
        <f t="shared" si="0"/>
        <v>Passed</v>
      </c>
      <c r="I24" t="str">
        <f>IF(AND(Sheet1[[#This Row],[Attendance ]]&gt;65,Sheet1[[#This Row],[Attendance ]]&lt;75),"Yes","No")</f>
        <v>Yes</v>
      </c>
      <c r="J24" t="str">
        <f>IF(Sheet1[[#This Row],[Attendance ]]&lt;65,"Yes","No")</f>
        <v>No</v>
      </c>
      <c r="K24" t="str">
        <f>CHOOSE(MOD(ROW()-2,8)+1,
"Kadapa",
"Ananthapur",
"Rayachoti",
"Nellore",
"Chittoor",
"Madanapalli",
"Rajampeta",
"Tirupati")</f>
        <v>Rajampeta</v>
      </c>
      <c r="L24" t="str">
        <f>IF(AND(G22="4th Year",E22="Pass",F22&gt;=7),"Yes","No")</f>
        <v>Yes</v>
      </c>
    </row>
    <row r="25" spans="1:18" hidden="1" x14ac:dyDescent="0.35">
      <c r="A25" t="s">
        <v>52</v>
      </c>
      <c r="B25" t="s">
        <v>39</v>
      </c>
      <c r="C25" t="s">
        <v>9</v>
      </c>
      <c r="D25">
        <v>60.73</v>
      </c>
      <c r="E25" t="s">
        <v>5</v>
      </c>
      <c r="F25">
        <v>7.2</v>
      </c>
      <c r="G25" t="s">
        <v>26</v>
      </c>
      <c r="H25" t="str">
        <f t="shared" si="0"/>
        <v>Passed</v>
      </c>
      <c r="I25" t="str">
        <f>IF(AND(Sheet1[[#This Row],[Attendance ]]&gt;65,Sheet1[[#This Row],[Attendance ]]&lt;75),"Yes","No")</f>
        <v>No</v>
      </c>
      <c r="J25" t="str">
        <f>IF(Sheet1[[#This Row],[Attendance ]]&lt;65,"Yes","No")</f>
        <v>Yes</v>
      </c>
    </row>
    <row r="26" spans="1:18" hidden="1" x14ac:dyDescent="0.35">
      <c r="A26" t="s">
        <v>53</v>
      </c>
      <c r="B26" t="s">
        <v>25</v>
      </c>
      <c r="C26" t="s">
        <v>9</v>
      </c>
      <c r="D26">
        <v>85.33</v>
      </c>
      <c r="E26" t="s">
        <v>5</v>
      </c>
      <c r="F26">
        <v>7.09</v>
      </c>
      <c r="G26" t="s">
        <v>6</v>
      </c>
      <c r="H26" t="str">
        <f t="shared" si="0"/>
        <v>Passed</v>
      </c>
      <c r="I26" t="str">
        <f>IF(AND(Sheet1[[#This Row],[Attendance ]]&gt;65,Sheet1[[#This Row],[Attendance ]]&lt;75),"Yes","No")</f>
        <v>No</v>
      </c>
      <c r="J26" t="str">
        <f>IF(Sheet1[[#This Row],[Attendance ]]&lt;65,"Yes","No")</f>
        <v>No</v>
      </c>
    </row>
    <row r="27" spans="1:18" x14ac:dyDescent="0.35">
      <c r="A27" t="s">
        <v>54</v>
      </c>
      <c r="B27" t="s">
        <v>8</v>
      </c>
      <c r="C27" t="s">
        <v>35</v>
      </c>
      <c r="D27">
        <v>70.16</v>
      </c>
      <c r="E27" t="s">
        <v>5</v>
      </c>
      <c r="F27">
        <v>5.91</v>
      </c>
      <c r="G27" t="s">
        <v>11</v>
      </c>
      <c r="H27" t="str">
        <f t="shared" si="0"/>
        <v>Passed</v>
      </c>
      <c r="I27" t="str">
        <f>IF(AND(Sheet1[[#This Row],[Attendance ]]&gt;65,Sheet1[[#This Row],[Attendance ]]&lt;75),"Yes","No")</f>
        <v>Yes</v>
      </c>
      <c r="J27" t="str">
        <f>IF(Sheet1[[#This Row],[Attendance ]]&lt;65,"Yes","No")</f>
        <v>No</v>
      </c>
      <c r="K27" t="str">
        <f>CHOOSE(MOD(ROW()-2,8)+1,
"Kadapa",
"Ananthapur",
"Rayachoti",
"Nellore",
"Chittoor",
"Madanapalli",
"Rajampeta",
"Tirupati")</f>
        <v>Ananthapur</v>
      </c>
      <c r="L27" t="str">
        <f>IF(AND(G25="4th Year",E25="Pass",F25&gt;=7),"Yes","No")</f>
        <v>Yes</v>
      </c>
      <c r="R27">
        <f>COUNT(F27:Q27)</f>
        <v>1</v>
      </c>
    </row>
    <row r="28" spans="1:18" hidden="1" x14ac:dyDescent="0.35">
      <c r="A28" t="s">
        <v>55</v>
      </c>
      <c r="B28" t="s">
        <v>3</v>
      </c>
      <c r="C28" t="s">
        <v>9</v>
      </c>
      <c r="D28">
        <v>77</v>
      </c>
      <c r="E28" t="s">
        <v>10</v>
      </c>
      <c r="F28">
        <v>7.98</v>
      </c>
      <c r="G28" t="s">
        <v>11</v>
      </c>
      <c r="H28" t="str">
        <f t="shared" si="0"/>
        <v>M1</v>
      </c>
      <c r="I28" t="str">
        <f>IF(AND(Sheet1[[#This Row],[Attendance ]]&gt;65,Sheet1[[#This Row],[Attendance ]]&lt;75),"Yes","No")</f>
        <v>No</v>
      </c>
      <c r="J28" t="str">
        <f>IF(Sheet1[[#This Row],[Attendance ]]&lt;65,"Yes","No")</f>
        <v>No</v>
      </c>
    </row>
    <row r="29" spans="1:18" hidden="1" x14ac:dyDescent="0.35">
      <c r="A29" t="s">
        <v>56</v>
      </c>
      <c r="B29" t="s">
        <v>30</v>
      </c>
      <c r="C29" t="s">
        <v>13</v>
      </c>
      <c r="D29">
        <v>94.97</v>
      </c>
      <c r="E29" t="s">
        <v>5</v>
      </c>
      <c r="F29">
        <v>7.87</v>
      </c>
      <c r="G29" t="s">
        <v>28</v>
      </c>
      <c r="H29" t="str">
        <f t="shared" si="0"/>
        <v>Passed</v>
      </c>
      <c r="I29" t="str">
        <f>IF(AND(Sheet1[[#This Row],[Attendance ]]&gt;65,Sheet1[[#This Row],[Attendance ]]&lt;75),"Yes","No")</f>
        <v>No</v>
      </c>
      <c r="J29" t="str">
        <f>IF(Sheet1[[#This Row],[Attendance ]]&lt;65,"Yes","No")</f>
        <v>No</v>
      </c>
    </row>
    <row r="30" spans="1:18" hidden="1" x14ac:dyDescent="0.35">
      <c r="A30" t="s">
        <v>57</v>
      </c>
      <c r="B30" t="s">
        <v>58</v>
      </c>
      <c r="C30" t="s">
        <v>35</v>
      </c>
      <c r="D30">
        <v>62.84</v>
      </c>
      <c r="E30" t="s">
        <v>5</v>
      </c>
      <c r="F30">
        <v>5.38</v>
      </c>
      <c r="G30" t="s">
        <v>11</v>
      </c>
      <c r="H30" t="str">
        <f t="shared" si="0"/>
        <v>Passed</v>
      </c>
      <c r="I30" t="str">
        <f>IF(AND(Sheet1[[#This Row],[Attendance ]]&gt;65,Sheet1[[#This Row],[Attendance ]]&lt;75),"Yes","No")</f>
        <v>No</v>
      </c>
      <c r="J30" t="str">
        <f>IF(Sheet1[[#This Row],[Attendance ]]&lt;65,"Yes","No")</f>
        <v>Yes</v>
      </c>
    </row>
    <row r="31" spans="1:18" hidden="1" x14ac:dyDescent="0.35">
      <c r="A31" t="s">
        <v>59</v>
      </c>
      <c r="B31" t="s">
        <v>51</v>
      </c>
      <c r="C31" t="s">
        <v>9</v>
      </c>
      <c r="D31">
        <v>62.05</v>
      </c>
      <c r="E31" t="s">
        <v>10</v>
      </c>
      <c r="F31">
        <v>8.2899999999999991</v>
      </c>
      <c r="G31" t="s">
        <v>26</v>
      </c>
      <c r="H31" t="str">
        <f t="shared" si="0"/>
        <v>Deep Learning</v>
      </c>
      <c r="I31" t="str">
        <f>IF(AND(Sheet1[[#This Row],[Attendance ]]&gt;65,Sheet1[[#This Row],[Attendance ]]&lt;75),"Yes","No")</f>
        <v>No</v>
      </c>
      <c r="J31" t="str">
        <f>IF(Sheet1[[#This Row],[Attendance ]]&lt;65,"Yes","No")</f>
        <v>Yes</v>
      </c>
    </row>
    <row r="32" spans="1:18" x14ac:dyDescent="0.35">
      <c r="A32" t="s">
        <v>60</v>
      </c>
      <c r="B32" t="s">
        <v>61</v>
      </c>
      <c r="C32" t="s">
        <v>20</v>
      </c>
      <c r="D32">
        <v>70.61</v>
      </c>
      <c r="E32" t="s">
        <v>10</v>
      </c>
      <c r="F32">
        <v>9.2899999999999991</v>
      </c>
      <c r="G32" t="s">
        <v>6</v>
      </c>
      <c r="H32" t="str">
        <f t="shared" si="0"/>
        <v>DBMS</v>
      </c>
      <c r="I32" t="str">
        <f>IF(AND(Sheet1[[#This Row],[Attendance ]]&gt;65,Sheet1[[#This Row],[Attendance ]]&lt;75),"Yes","No")</f>
        <v>Yes</v>
      </c>
      <c r="J32" t="str">
        <f>IF(Sheet1[[#This Row],[Attendance ]]&lt;65,"Yes","No")</f>
        <v>No</v>
      </c>
      <c r="K32" t="str">
        <f t="shared" ref="K32:K33" si="1">CHOOSE(MOD(ROW()-2,8)+1,
"Kadapa",
"Ananthapur",
"Rayachoti",
"Nellore",
"Chittoor",
"Madanapalli",
"Rajampeta",
"Tirupati")</f>
        <v>Rajampeta</v>
      </c>
      <c r="L32" t="str">
        <f t="shared" ref="L32:L33" si="2">IF(AND(G30="4th Year",E30="Pass",F30&gt;=7),"Yes","No")</f>
        <v>No</v>
      </c>
    </row>
    <row r="33" spans="1:16" x14ac:dyDescent="0.35">
      <c r="A33" t="s">
        <v>62</v>
      </c>
      <c r="B33" t="s">
        <v>63</v>
      </c>
      <c r="C33" t="s">
        <v>20</v>
      </c>
      <c r="D33">
        <v>70.77</v>
      </c>
      <c r="E33" t="s">
        <v>10</v>
      </c>
      <c r="F33">
        <v>5.71</v>
      </c>
      <c r="G33" t="s">
        <v>11</v>
      </c>
      <c r="H33" t="str">
        <f t="shared" si="0"/>
        <v>M1</v>
      </c>
      <c r="I33" t="str">
        <f>IF(AND(Sheet1[[#This Row],[Attendance ]]&gt;65,Sheet1[[#This Row],[Attendance ]]&lt;75),"Yes","No")</f>
        <v>Yes</v>
      </c>
      <c r="J33" t="str">
        <f>IF(Sheet1[[#This Row],[Attendance ]]&lt;65,"Yes","No")</f>
        <v>No</v>
      </c>
      <c r="K33" t="str">
        <f t="shared" si="1"/>
        <v>Tirupati</v>
      </c>
      <c r="L33" t="str">
        <f t="shared" si="2"/>
        <v>No</v>
      </c>
    </row>
    <row r="34" spans="1:16" hidden="1" x14ac:dyDescent="0.35">
      <c r="A34" t="s">
        <v>64</v>
      </c>
      <c r="B34" t="s">
        <v>61</v>
      </c>
      <c r="C34" t="s">
        <v>4</v>
      </c>
      <c r="D34">
        <v>77.81</v>
      </c>
      <c r="E34" t="s">
        <v>5</v>
      </c>
      <c r="F34">
        <v>8.64</v>
      </c>
      <c r="G34" t="s">
        <v>28</v>
      </c>
      <c r="H34" t="str">
        <f t="shared" si="0"/>
        <v>Passed</v>
      </c>
      <c r="I34" t="str">
        <f>IF(AND(Sheet1[[#This Row],[Attendance ]]&gt;65,Sheet1[[#This Row],[Attendance ]]&lt;75),"Yes","No")</f>
        <v>No</v>
      </c>
      <c r="J34" t="str">
        <f>IF(Sheet1[[#This Row],[Attendance ]]&lt;65,"Yes","No")</f>
        <v>No</v>
      </c>
    </row>
    <row r="35" spans="1:16" hidden="1" x14ac:dyDescent="0.35">
      <c r="A35" t="s">
        <v>65</v>
      </c>
      <c r="B35" t="s">
        <v>58</v>
      </c>
      <c r="C35" t="s">
        <v>13</v>
      </c>
      <c r="D35">
        <v>63.53</v>
      </c>
      <c r="E35" t="s">
        <v>5</v>
      </c>
      <c r="F35">
        <v>5.26</v>
      </c>
      <c r="G35" t="s">
        <v>26</v>
      </c>
      <c r="H35" t="str">
        <f t="shared" si="0"/>
        <v>Passed</v>
      </c>
      <c r="I35" t="str">
        <f>IF(AND(Sheet1[[#This Row],[Attendance ]]&gt;65,Sheet1[[#This Row],[Attendance ]]&lt;75),"Yes","No")</f>
        <v>No</v>
      </c>
      <c r="J35" t="str">
        <f>IF(Sheet1[[#This Row],[Attendance ]]&lt;65,"Yes","No")</f>
        <v>Yes</v>
      </c>
    </row>
    <row r="36" spans="1:16" x14ac:dyDescent="0.35">
      <c r="A36" t="s">
        <v>66</v>
      </c>
      <c r="B36" t="s">
        <v>17</v>
      </c>
      <c r="C36" t="s">
        <v>23</v>
      </c>
      <c r="D36">
        <v>70.430000000000007</v>
      </c>
      <c r="E36" t="s">
        <v>5</v>
      </c>
      <c r="F36">
        <v>6.44</v>
      </c>
      <c r="G36" t="s">
        <v>6</v>
      </c>
      <c r="H36" t="str">
        <f t="shared" si="0"/>
        <v>Passed</v>
      </c>
      <c r="I36" t="str">
        <f>IF(AND(Sheet1[[#This Row],[Attendance ]]&gt;65,Sheet1[[#This Row],[Attendance ]]&lt;75),"Yes","No")</f>
        <v>Yes</v>
      </c>
      <c r="J36" t="str">
        <f>IF(Sheet1[[#This Row],[Attendance ]]&lt;65,"Yes","No")</f>
        <v>No</v>
      </c>
      <c r="K36" t="str">
        <f>CHOOSE(MOD(ROW()-2,8)+1,
"Kadapa",
"Ananthapur",
"Rayachoti",
"Nellore",
"Chittoor",
"Madanapalli",
"Rajampeta",
"Tirupati")</f>
        <v>Rayachoti</v>
      </c>
      <c r="L36" t="str">
        <f>IF(AND(G34="4th Year",E34="Pass",F34&gt;=7),"Yes","No")</f>
        <v>No</v>
      </c>
    </row>
    <row r="37" spans="1:16" hidden="1" x14ac:dyDescent="0.35">
      <c r="A37" t="s">
        <v>67</v>
      </c>
      <c r="B37" t="s">
        <v>51</v>
      </c>
      <c r="C37" t="s">
        <v>23</v>
      </c>
      <c r="D37">
        <v>79.12</v>
      </c>
      <c r="E37" t="s">
        <v>5</v>
      </c>
      <c r="F37">
        <v>7.25</v>
      </c>
      <c r="G37" t="s">
        <v>11</v>
      </c>
      <c r="H37" t="str">
        <f t="shared" si="0"/>
        <v>Passed</v>
      </c>
      <c r="I37" t="str">
        <f>IF(AND(Sheet1[[#This Row],[Attendance ]]&gt;65,Sheet1[[#This Row],[Attendance ]]&lt;75),"Yes","No")</f>
        <v>No</v>
      </c>
      <c r="J37" t="str">
        <f>IF(Sheet1[[#This Row],[Attendance ]]&lt;65,"Yes","No")</f>
        <v>No</v>
      </c>
    </row>
    <row r="38" spans="1:16" x14ac:dyDescent="0.35">
      <c r="A38" t="s">
        <v>68</v>
      </c>
      <c r="B38" t="s">
        <v>45</v>
      </c>
      <c r="C38" t="s">
        <v>4</v>
      </c>
      <c r="D38">
        <v>68.400000000000006</v>
      </c>
      <c r="E38" t="s">
        <v>5</v>
      </c>
      <c r="F38">
        <v>6.93</v>
      </c>
      <c r="G38" t="s">
        <v>28</v>
      </c>
      <c r="H38" t="str">
        <f t="shared" si="0"/>
        <v>Passed</v>
      </c>
      <c r="I38" t="str">
        <f>IF(AND(Sheet1[[#This Row],[Attendance ]]&gt;65,Sheet1[[#This Row],[Attendance ]]&lt;75),"Yes","No")</f>
        <v>Yes</v>
      </c>
      <c r="J38" t="str">
        <f>IF(Sheet1[[#This Row],[Attendance ]]&lt;65,"Yes","No")</f>
        <v>No</v>
      </c>
      <c r="K38" t="str">
        <f>CHOOSE(MOD(ROW()-2,8)+1,
"Kadapa",
"Ananthapur",
"Rayachoti",
"Nellore",
"Chittoor",
"Madanapalli",
"Rajampeta",
"Tirupati")</f>
        <v>Chittoor</v>
      </c>
      <c r="L38" t="str">
        <f>IF(AND(G36="4th Year",E36="Pass",F36&gt;=7),"Yes","No")</f>
        <v>No</v>
      </c>
    </row>
    <row r="39" spans="1:16" hidden="1" x14ac:dyDescent="0.35">
      <c r="A39" t="s">
        <v>69</v>
      </c>
      <c r="B39" t="s">
        <v>70</v>
      </c>
      <c r="C39" t="s">
        <v>9</v>
      </c>
      <c r="D39">
        <v>79.98</v>
      </c>
      <c r="E39" t="s">
        <v>5</v>
      </c>
      <c r="F39">
        <v>7.59</v>
      </c>
      <c r="G39" t="s">
        <v>6</v>
      </c>
      <c r="H39" t="str">
        <f t="shared" si="0"/>
        <v>Passed</v>
      </c>
      <c r="I39" t="str">
        <f>IF(AND(Sheet1[[#This Row],[Attendance ]]&gt;65,Sheet1[[#This Row],[Attendance ]]&lt;75),"Yes","No")</f>
        <v>No</v>
      </c>
      <c r="J39" t="str">
        <f>IF(Sheet1[[#This Row],[Attendance ]]&lt;65,"Yes","No")</f>
        <v>No</v>
      </c>
    </row>
    <row r="40" spans="1:16" x14ac:dyDescent="0.35">
      <c r="A40" t="s">
        <v>71</v>
      </c>
      <c r="B40" t="s">
        <v>72</v>
      </c>
      <c r="C40" t="s">
        <v>35</v>
      </c>
      <c r="D40">
        <v>73.739999999999995</v>
      </c>
      <c r="E40" t="s">
        <v>10</v>
      </c>
      <c r="F40">
        <v>7.42</v>
      </c>
      <c r="G40" t="s">
        <v>26</v>
      </c>
      <c r="H40" t="str">
        <f t="shared" si="0"/>
        <v>Deep Learning</v>
      </c>
      <c r="I40" t="str">
        <f>IF(AND(Sheet1[[#This Row],[Attendance ]]&gt;65,Sheet1[[#This Row],[Attendance ]]&lt;75),"Yes","No")</f>
        <v>Yes</v>
      </c>
      <c r="J40" t="str">
        <f>IF(Sheet1[[#This Row],[Attendance ]]&lt;65,"Yes","No")</f>
        <v>No</v>
      </c>
      <c r="K40" t="str">
        <f>CHOOSE(MOD(ROW()-2,8)+1,
"Kadapa",
"Ananthapur",
"Rayachoti",
"Nellore",
"Chittoor",
"Madanapalli",
"Rajampeta",
"Tirupati")</f>
        <v>Rajampeta</v>
      </c>
      <c r="L40" t="str">
        <f>IF(AND(G38="4th Year",E38="Pass",F38&gt;=7),"Yes","No")</f>
        <v>No</v>
      </c>
      <c r="N40" t="str">
        <f>IF(N50,"Yes","No")</f>
        <v>No</v>
      </c>
    </row>
    <row r="41" spans="1:16" hidden="1" x14ac:dyDescent="0.35">
      <c r="A41" t="s">
        <v>73</v>
      </c>
      <c r="B41" t="s">
        <v>19</v>
      </c>
      <c r="C41" t="s">
        <v>4</v>
      </c>
      <c r="D41">
        <v>89.77</v>
      </c>
      <c r="E41" t="s">
        <v>5</v>
      </c>
      <c r="F41">
        <v>9.67</v>
      </c>
      <c r="G41" t="s">
        <v>28</v>
      </c>
      <c r="H41" t="str">
        <f t="shared" si="0"/>
        <v>Passed</v>
      </c>
      <c r="I41" t="str">
        <f>IF(AND(Sheet1[[#This Row],[Attendance ]]&gt;65,Sheet1[[#This Row],[Attendance ]]&lt;75),"Yes","No")</f>
        <v>No</v>
      </c>
      <c r="J41" t="str">
        <f>IF(Sheet1[[#This Row],[Attendance ]]&lt;65,"Yes","No")</f>
        <v>No</v>
      </c>
    </row>
    <row r="42" spans="1:16" hidden="1" x14ac:dyDescent="0.35">
      <c r="A42" t="s">
        <v>74</v>
      </c>
      <c r="B42" t="s">
        <v>12</v>
      </c>
      <c r="C42" t="s">
        <v>20</v>
      </c>
      <c r="D42">
        <v>85.78</v>
      </c>
      <c r="E42" t="s">
        <v>5</v>
      </c>
      <c r="F42">
        <v>8.6</v>
      </c>
      <c r="G42" t="s">
        <v>28</v>
      </c>
      <c r="H42" t="str">
        <f t="shared" si="0"/>
        <v>Passed</v>
      </c>
      <c r="I42" t="str">
        <f>IF(AND(Sheet1[[#This Row],[Attendance ]]&gt;65,Sheet1[[#This Row],[Attendance ]]&lt;75),"Yes","No")</f>
        <v>No</v>
      </c>
      <c r="J42" t="str">
        <f>IF(Sheet1[[#This Row],[Attendance ]]&lt;65,"Yes","No")</f>
        <v>No</v>
      </c>
    </row>
    <row r="43" spans="1:16" x14ac:dyDescent="0.35">
      <c r="A43" t="s">
        <v>75</v>
      </c>
      <c r="B43" t="s">
        <v>22</v>
      </c>
      <c r="C43" t="s">
        <v>35</v>
      </c>
      <c r="D43">
        <v>66.92</v>
      </c>
      <c r="E43" t="s">
        <v>5</v>
      </c>
      <c r="F43">
        <v>7.48</v>
      </c>
      <c r="G43" t="s">
        <v>11</v>
      </c>
      <c r="H43" t="str">
        <f t="shared" si="0"/>
        <v>Passed</v>
      </c>
      <c r="I43" t="str">
        <f>IF(AND(Sheet1[[#This Row],[Attendance ]]&gt;65,Sheet1[[#This Row],[Attendance ]]&lt;75),"Yes","No")</f>
        <v>Yes</v>
      </c>
      <c r="J43" t="str">
        <f>IF(Sheet1[[#This Row],[Attendance ]]&lt;65,"Yes","No")</f>
        <v>No</v>
      </c>
      <c r="K43" t="str">
        <f>CHOOSE(MOD(ROW()-2,8)+1,
"Kadapa",
"Ananthapur",
"Rayachoti",
"Nellore",
"Chittoor",
"Madanapalli",
"Rajampeta",
"Tirupati")</f>
        <v>Ananthapur</v>
      </c>
      <c r="L43" t="str">
        <f>IF(AND(G41="4th Year",E41="Pass",F41&gt;=7),"Yes","No")</f>
        <v>No</v>
      </c>
    </row>
    <row r="44" spans="1:16" hidden="1" x14ac:dyDescent="0.35">
      <c r="A44" t="s">
        <v>76</v>
      </c>
      <c r="B44" t="s">
        <v>77</v>
      </c>
      <c r="C44" t="s">
        <v>35</v>
      </c>
      <c r="D44">
        <v>81.8</v>
      </c>
      <c r="E44" t="s">
        <v>5</v>
      </c>
      <c r="F44">
        <v>7.17</v>
      </c>
      <c r="G44" t="s">
        <v>28</v>
      </c>
      <c r="H44" t="str">
        <f t="shared" si="0"/>
        <v>Passed</v>
      </c>
      <c r="I44" t="str">
        <f>IF(AND(Sheet1[[#This Row],[Attendance ]]&gt;65,Sheet1[[#This Row],[Attendance ]]&lt;75),"Yes","No")</f>
        <v>No</v>
      </c>
      <c r="J44" t="str">
        <f>IF(Sheet1[[#This Row],[Attendance ]]&lt;65,"Yes","No")</f>
        <v>No</v>
      </c>
    </row>
    <row r="45" spans="1:16" hidden="1" x14ac:dyDescent="0.35">
      <c r="A45" t="s">
        <v>78</v>
      </c>
      <c r="B45" t="s">
        <v>63</v>
      </c>
      <c r="C45" t="s">
        <v>35</v>
      </c>
      <c r="D45">
        <v>78.45</v>
      </c>
      <c r="E45" t="s">
        <v>5</v>
      </c>
      <c r="F45">
        <v>7.99</v>
      </c>
      <c r="G45" t="s">
        <v>11</v>
      </c>
      <c r="H45" t="str">
        <f t="shared" si="0"/>
        <v>Passed</v>
      </c>
      <c r="I45" t="str">
        <f>IF(AND(Sheet1[[#This Row],[Attendance ]]&gt;65,Sheet1[[#This Row],[Attendance ]]&lt;75),"Yes","No")</f>
        <v>No</v>
      </c>
      <c r="J45" t="str">
        <f>IF(Sheet1[[#This Row],[Attendance ]]&lt;65,"Yes","No")</f>
        <v>No</v>
      </c>
    </row>
    <row r="46" spans="1:16" hidden="1" x14ac:dyDescent="0.35">
      <c r="A46" t="s">
        <v>79</v>
      </c>
      <c r="B46" t="s">
        <v>12</v>
      </c>
      <c r="C46" t="s">
        <v>35</v>
      </c>
      <c r="D46">
        <v>95.76</v>
      </c>
      <c r="E46" t="s">
        <v>5</v>
      </c>
      <c r="F46">
        <v>7.69</v>
      </c>
      <c r="G46" t="s">
        <v>26</v>
      </c>
      <c r="H46" t="str">
        <f t="shared" si="0"/>
        <v>Passed</v>
      </c>
      <c r="I46" t="str">
        <f>IF(AND(Sheet1[[#This Row],[Attendance ]]&gt;65,Sheet1[[#This Row],[Attendance ]]&lt;75),"Yes","No")</f>
        <v>No</v>
      </c>
      <c r="J46" t="str">
        <f>IF(Sheet1[[#This Row],[Attendance ]]&lt;65,"Yes","No")</f>
        <v>No</v>
      </c>
    </row>
    <row r="47" spans="1:16" x14ac:dyDescent="0.35">
      <c r="A47" t="s">
        <v>80</v>
      </c>
      <c r="B47" t="s">
        <v>22</v>
      </c>
      <c r="C47" t="s">
        <v>4</v>
      </c>
      <c r="D47">
        <v>73.2</v>
      </c>
      <c r="E47" t="s">
        <v>5</v>
      </c>
      <c r="F47">
        <v>6.4</v>
      </c>
      <c r="G47" t="s">
        <v>6</v>
      </c>
      <c r="H47" t="str">
        <f t="shared" si="0"/>
        <v>Passed</v>
      </c>
      <c r="I47" t="str">
        <f>IF(AND(Sheet1[[#This Row],[Attendance ]]&gt;65,Sheet1[[#This Row],[Attendance ]]&lt;75),"Yes","No")</f>
        <v>Yes</v>
      </c>
      <c r="J47" t="str">
        <f>IF(Sheet1[[#This Row],[Attendance ]]&lt;65,"Yes","No")</f>
        <v>No</v>
      </c>
      <c r="K47" t="str">
        <f>CHOOSE(MOD(ROW()-2,8)+1,
"Kadapa",
"Ananthapur",
"Rayachoti",
"Nellore",
"Chittoor",
"Madanapalli",
"Rajampeta",
"Tirupati")</f>
        <v>Madanapalli</v>
      </c>
      <c r="L47" t="str">
        <f>IF(AND(G45="4th Year",E45="Pass",F45&gt;=7),"Yes","No")</f>
        <v>No</v>
      </c>
      <c r="P47" t="s">
        <v>1074</v>
      </c>
    </row>
    <row r="48" spans="1:16" hidden="1" x14ac:dyDescent="0.35">
      <c r="A48" t="s">
        <v>81</v>
      </c>
      <c r="B48" t="s">
        <v>37</v>
      </c>
      <c r="C48" t="s">
        <v>9</v>
      </c>
      <c r="D48">
        <v>89.59</v>
      </c>
      <c r="E48" t="s">
        <v>5</v>
      </c>
      <c r="F48">
        <v>6.77</v>
      </c>
      <c r="G48" t="s">
        <v>26</v>
      </c>
      <c r="H48" t="str">
        <f t="shared" si="0"/>
        <v>Passed</v>
      </c>
      <c r="I48" t="str">
        <f>IF(AND(Sheet1[[#This Row],[Attendance ]]&gt;65,Sheet1[[#This Row],[Attendance ]]&lt;75),"Yes","No")</f>
        <v>No</v>
      </c>
      <c r="J48" t="str">
        <f>IF(Sheet1[[#This Row],[Attendance ]]&lt;65,"Yes","No")</f>
        <v>No</v>
      </c>
    </row>
    <row r="49" spans="1:16" x14ac:dyDescent="0.35">
      <c r="A49" t="s">
        <v>82</v>
      </c>
      <c r="B49" t="s">
        <v>34</v>
      </c>
      <c r="C49" t="s">
        <v>13</v>
      </c>
      <c r="D49">
        <v>65.86</v>
      </c>
      <c r="E49" t="s">
        <v>5</v>
      </c>
      <c r="F49">
        <v>5.88</v>
      </c>
      <c r="G49" t="s">
        <v>26</v>
      </c>
      <c r="H49" t="str">
        <f t="shared" si="0"/>
        <v>Passed</v>
      </c>
      <c r="I49" t="str">
        <f>IF(AND(Sheet1[[#This Row],[Attendance ]]&gt;65,Sheet1[[#This Row],[Attendance ]]&lt;75),"Yes","No")</f>
        <v>Yes</v>
      </c>
      <c r="J49" t="str">
        <f>IF(Sheet1[[#This Row],[Attendance ]]&lt;65,"Yes","No")</f>
        <v>No</v>
      </c>
      <c r="K49" t="str">
        <f t="shared" ref="K49:K50" si="3">CHOOSE(MOD(ROW()-2,8)+1,
"Kadapa",
"Ananthapur",
"Rayachoti",
"Nellore",
"Chittoor",
"Madanapalli",
"Rajampeta",
"Tirupati")</f>
        <v>Tirupati</v>
      </c>
      <c r="L49" t="str">
        <f t="shared" ref="L49:L50" si="4">IF(AND(G47="4th Year",E47="Pass",F47&gt;=7),"Yes","No")</f>
        <v>No</v>
      </c>
      <c r="P49">
        <f>COUNTA(A1:A1001)</f>
        <v>1001</v>
      </c>
    </row>
    <row r="50" spans="1:16" x14ac:dyDescent="0.35">
      <c r="A50" t="s">
        <v>83</v>
      </c>
      <c r="B50" t="s">
        <v>17</v>
      </c>
      <c r="C50" t="s">
        <v>20</v>
      </c>
      <c r="D50">
        <v>73.680000000000007</v>
      </c>
      <c r="E50" t="s">
        <v>5</v>
      </c>
      <c r="F50">
        <v>7.49</v>
      </c>
      <c r="G50" t="s">
        <v>26</v>
      </c>
      <c r="H50" t="str">
        <f t="shared" si="0"/>
        <v>Passed</v>
      </c>
      <c r="I50" t="str">
        <f>IF(AND(Sheet1[[#This Row],[Attendance ]]&gt;65,Sheet1[[#This Row],[Attendance ]]&lt;75),"Yes","No")</f>
        <v>Yes</v>
      </c>
      <c r="J50" t="str">
        <f>IF(Sheet1[[#This Row],[Attendance ]]&lt;65,"Yes","No")</f>
        <v>No</v>
      </c>
      <c r="K50" t="str">
        <f t="shared" si="3"/>
        <v>Kadapa</v>
      </c>
      <c r="L50" t="str">
        <f t="shared" si="4"/>
        <v>No</v>
      </c>
    </row>
    <row r="51" spans="1:16" hidden="1" x14ac:dyDescent="0.35">
      <c r="A51" t="s">
        <v>84</v>
      </c>
      <c r="B51" t="s">
        <v>77</v>
      </c>
      <c r="C51" t="s">
        <v>9</v>
      </c>
      <c r="D51">
        <v>78.25</v>
      </c>
      <c r="E51" t="s">
        <v>5</v>
      </c>
      <c r="F51">
        <v>8.94</v>
      </c>
      <c r="G51" t="s">
        <v>6</v>
      </c>
      <c r="H51" t="str">
        <f t="shared" si="0"/>
        <v>Passed</v>
      </c>
      <c r="I51" t="str">
        <f>IF(AND(Sheet1[[#This Row],[Attendance ]]&gt;65,Sheet1[[#This Row],[Attendance ]]&lt;75),"Yes","No")</f>
        <v>No</v>
      </c>
      <c r="J51" t="str">
        <f>IF(Sheet1[[#This Row],[Attendance ]]&lt;65,"Yes","No")</f>
        <v>No</v>
      </c>
    </row>
    <row r="52" spans="1:16" hidden="1" x14ac:dyDescent="0.35">
      <c r="A52" t="s">
        <v>85</v>
      </c>
      <c r="B52" t="s">
        <v>32</v>
      </c>
      <c r="C52" t="s">
        <v>35</v>
      </c>
      <c r="D52">
        <v>86.86</v>
      </c>
      <c r="E52" t="s">
        <v>5</v>
      </c>
      <c r="F52">
        <v>5.96</v>
      </c>
      <c r="G52" t="s">
        <v>11</v>
      </c>
      <c r="H52" t="str">
        <f t="shared" si="0"/>
        <v>Passed</v>
      </c>
      <c r="I52" t="str">
        <f>IF(AND(Sheet1[[#This Row],[Attendance ]]&gt;65,Sheet1[[#This Row],[Attendance ]]&lt;75),"Yes","No")</f>
        <v>No</v>
      </c>
      <c r="J52" t="str">
        <f>IF(Sheet1[[#This Row],[Attendance ]]&lt;65,"Yes","No")</f>
        <v>No</v>
      </c>
    </row>
    <row r="53" spans="1:16" hidden="1" x14ac:dyDescent="0.35">
      <c r="A53" t="s">
        <v>86</v>
      </c>
      <c r="B53" t="s">
        <v>77</v>
      </c>
      <c r="C53" t="s">
        <v>9</v>
      </c>
      <c r="D53">
        <v>91.8</v>
      </c>
      <c r="E53" t="s">
        <v>5</v>
      </c>
      <c r="F53">
        <v>5.39</v>
      </c>
      <c r="G53" t="s">
        <v>28</v>
      </c>
      <c r="H53" t="str">
        <f t="shared" si="0"/>
        <v>Passed</v>
      </c>
      <c r="I53" t="str">
        <f>IF(AND(Sheet1[[#This Row],[Attendance ]]&gt;65,Sheet1[[#This Row],[Attendance ]]&lt;75),"Yes","No")</f>
        <v>No</v>
      </c>
      <c r="J53" t="str">
        <f>IF(Sheet1[[#This Row],[Attendance ]]&lt;65,"Yes","No")</f>
        <v>No</v>
      </c>
    </row>
    <row r="54" spans="1:16" hidden="1" x14ac:dyDescent="0.35">
      <c r="A54" t="s">
        <v>87</v>
      </c>
      <c r="B54" t="s">
        <v>88</v>
      </c>
      <c r="C54" t="s">
        <v>20</v>
      </c>
      <c r="D54">
        <v>83.2</v>
      </c>
      <c r="E54" t="s">
        <v>5</v>
      </c>
      <c r="F54">
        <v>5.68</v>
      </c>
      <c r="G54" t="s">
        <v>28</v>
      </c>
      <c r="H54" t="str">
        <f t="shared" si="0"/>
        <v>Passed</v>
      </c>
      <c r="I54" t="str">
        <f>IF(AND(Sheet1[[#This Row],[Attendance ]]&gt;65,Sheet1[[#This Row],[Attendance ]]&lt;75),"Yes","No")</f>
        <v>No</v>
      </c>
      <c r="J54" t="str">
        <f>IF(Sheet1[[#This Row],[Attendance ]]&lt;65,"Yes","No")</f>
        <v>No</v>
      </c>
    </row>
    <row r="55" spans="1:16" x14ac:dyDescent="0.35">
      <c r="A55" t="s">
        <v>89</v>
      </c>
      <c r="B55" t="s">
        <v>51</v>
      </c>
      <c r="C55" t="s">
        <v>35</v>
      </c>
      <c r="D55">
        <v>74.28</v>
      </c>
      <c r="E55" t="s">
        <v>5</v>
      </c>
      <c r="F55">
        <v>6.72</v>
      </c>
      <c r="G55" t="s">
        <v>11</v>
      </c>
      <c r="H55" t="str">
        <f t="shared" si="0"/>
        <v>Passed</v>
      </c>
      <c r="I55" t="str">
        <f>IF(AND(Sheet1[[#This Row],[Attendance ]]&gt;65,Sheet1[[#This Row],[Attendance ]]&lt;75),"Yes","No")</f>
        <v>Yes</v>
      </c>
      <c r="J55" t="str">
        <f>IF(Sheet1[[#This Row],[Attendance ]]&lt;65,"Yes","No")</f>
        <v>No</v>
      </c>
      <c r="K55" t="str">
        <f>CHOOSE(MOD(ROW()-2,8)+1,
"Kadapa",
"Ananthapur",
"Rayachoti",
"Nellore",
"Chittoor",
"Madanapalli",
"Rajampeta",
"Tirupati")</f>
        <v>Madanapalli</v>
      </c>
      <c r="L55" t="str">
        <f>IF(AND(G53="4th Year",E53="Pass",F53&gt;=7),"Yes","No")</f>
        <v>No</v>
      </c>
    </row>
    <row r="56" spans="1:16" hidden="1" x14ac:dyDescent="0.35">
      <c r="A56" t="s">
        <v>90</v>
      </c>
      <c r="B56" t="s">
        <v>61</v>
      </c>
      <c r="C56" t="s">
        <v>23</v>
      </c>
      <c r="D56">
        <v>79.099999999999994</v>
      </c>
      <c r="E56" t="s">
        <v>5</v>
      </c>
      <c r="F56">
        <v>8.31</v>
      </c>
      <c r="G56" t="s">
        <v>28</v>
      </c>
      <c r="H56" t="str">
        <f t="shared" si="0"/>
        <v>Passed</v>
      </c>
      <c r="I56" t="str">
        <f>IF(AND(Sheet1[[#This Row],[Attendance ]]&gt;65,Sheet1[[#This Row],[Attendance ]]&lt;75),"Yes","No")</f>
        <v>No</v>
      </c>
      <c r="J56" t="str">
        <f>IF(Sheet1[[#This Row],[Attendance ]]&lt;65,"Yes","No")</f>
        <v>No</v>
      </c>
    </row>
    <row r="57" spans="1:16" x14ac:dyDescent="0.35">
      <c r="A57" t="s">
        <v>91</v>
      </c>
      <c r="B57" t="s">
        <v>45</v>
      </c>
      <c r="C57" t="s">
        <v>20</v>
      </c>
      <c r="D57">
        <v>65.06</v>
      </c>
      <c r="E57" t="s">
        <v>10</v>
      </c>
      <c r="F57">
        <v>6.35</v>
      </c>
      <c r="G57" t="s">
        <v>11</v>
      </c>
      <c r="H57" t="str">
        <f t="shared" si="0"/>
        <v>M1</v>
      </c>
      <c r="I57" t="str">
        <f>IF(AND(Sheet1[[#This Row],[Attendance ]]&gt;65,Sheet1[[#This Row],[Attendance ]]&lt;75),"Yes","No")</f>
        <v>Yes</v>
      </c>
      <c r="J57" t="str">
        <f>IF(Sheet1[[#This Row],[Attendance ]]&lt;65,"Yes","No")</f>
        <v>No</v>
      </c>
      <c r="K57" t="str">
        <f>CHOOSE(MOD(ROW()-2,8)+1,
"Kadapa",
"Ananthapur",
"Rayachoti",
"Nellore",
"Chittoor",
"Madanapalli",
"Rajampeta",
"Tirupati")</f>
        <v>Tirupati</v>
      </c>
      <c r="L57" t="str">
        <f>IF(AND(G55="4th Year",E55="Pass",F55&gt;=7),"Yes","No")</f>
        <v>No</v>
      </c>
      <c r="N57" t="str">
        <f>IF(A2="","Not Available",A2)</f>
        <v>22781A3200</v>
      </c>
    </row>
    <row r="58" spans="1:16" hidden="1" x14ac:dyDescent="0.35">
      <c r="A58" t="s">
        <v>92</v>
      </c>
      <c r="B58" t="s">
        <v>34</v>
      </c>
      <c r="C58" t="s">
        <v>9</v>
      </c>
      <c r="D58">
        <v>64.59</v>
      </c>
      <c r="E58" t="s">
        <v>5</v>
      </c>
      <c r="F58">
        <v>6.89</v>
      </c>
      <c r="G58" t="s">
        <v>28</v>
      </c>
      <c r="H58" t="str">
        <f t="shared" si="0"/>
        <v>Passed</v>
      </c>
      <c r="I58" t="str">
        <f>IF(AND(Sheet1[[#This Row],[Attendance ]]&gt;65,Sheet1[[#This Row],[Attendance ]]&lt;75),"Yes","No")</f>
        <v>No</v>
      </c>
      <c r="J58" t="str">
        <f>IF(Sheet1[[#This Row],[Attendance ]]&lt;65,"Yes","No")</f>
        <v>Yes</v>
      </c>
    </row>
    <row r="59" spans="1:16" hidden="1" x14ac:dyDescent="0.35">
      <c r="A59" t="s">
        <v>93</v>
      </c>
      <c r="B59" t="s">
        <v>12</v>
      </c>
      <c r="C59" t="s">
        <v>23</v>
      </c>
      <c r="D59">
        <v>83.76</v>
      </c>
      <c r="E59" t="s">
        <v>5</v>
      </c>
      <c r="F59">
        <v>7.87</v>
      </c>
      <c r="G59" t="s">
        <v>6</v>
      </c>
      <c r="H59" t="str">
        <f t="shared" si="0"/>
        <v>Passed</v>
      </c>
      <c r="I59" t="str">
        <f>IF(AND(Sheet1[[#This Row],[Attendance ]]&gt;65,Sheet1[[#This Row],[Attendance ]]&lt;75),"Yes","No")</f>
        <v>No</v>
      </c>
      <c r="J59" t="str">
        <f>IF(Sheet1[[#This Row],[Attendance ]]&lt;65,"Yes","No")</f>
        <v>No</v>
      </c>
    </row>
    <row r="60" spans="1:16" hidden="1" x14ac:dyDescent="0.35">
      <c r="A60" t="s">
        <v>94</v>
      </c>
      <c r="B60" t="s">
        <v>88</v>
      </c>
      <c r="C60" t="s">
        <v>35</v>
      </c>
      <c r="D60">
        <v>99.83</v>
      </c>
      <c r="E60" t="s">
        <v>5</v>
      </c>
      <c r="F60">
        <v>9.7100000000000009</v>
      </c>
      <c r="G60" t="s">
        <v>11</v>
      </c>
      <c r="H60" t="str">
        <f t="shared" si="0"/>
        <v>Passed</v>
      </c>
      <c r="I60" t="str">
        <f>IF(AND(Sheet1[[#This Row],[Attendance ]]&gt;65,Sheet1[[#This Row],[Attendance ]]&lt;75),"Yes","No")</f>
        <v>No</v>
      </c>
      <c r="J60" t="str">
        <f>IF(Sheet1[[#This Row],[Attendance ]]&lt;65,"Yes","No")</f>
        <v>No</v>
      </c>
    </row>
    <row r="61" spans="1:16" hidden="1" x14ac:dyDescent="0.35">
      <c r="A61" t="s">
        <v>95</v>
      </c>
      <c r="B61" t="s">
        <v>19</v>
      </c>
      <c r="C61" t="s">
        <v>9</v>
      </c>
      <c r="D61">
        <v>96.83</v>
      </c>
      <c r="E61" t="s">
        <v>5</v>
      </c>
      <c r="F61">
        <v>8.86</v>
      </c>
      <c r="G61" t="s">
        <v>11</v>
      </c>
      <c r="H61" t="str">
        <f t="shared" si="0"/>
        <v>Passed</v>
      </c>
      <c r="I61" t="str">
        <f>IF(AND(Sheet1[[#This Row],[Attendance ]]&gt;65,Sheet1[[#This Row],[Attendance ]]&lt;75),"Yes","No")</f>
        <v>No</v>
      </c>
      <c r="J61" t="str">
        <f>IF(Sheet1[[#This Row],[Attendance ]]&lt;65,"Yes","No")</f>
        <v>No</v>
      </c>
    </row>
    <row r="62" spans="1:16" hidden="1" x14ac:dyDescent="0.35">
      <c r="A62" t="s">
        <v>96</v>
      </c>
      <c r="B62" t="s">
        <v>32</v>
      </c>
      <c r="C62" t="s">
        <v>23</v>
      </c>
      <c r="D62">
        <v>90.94</v>
      </c>
      <c r="E62" t="s">
        <v>10</v>
      </c>
      <c r="F62">
        <v>8.9600000000000009</v>
      </c>
      <c r="G62" t="s">
        <v>28</v>
      </c>
      <c r="H62" t="str">
        <f t="shared" si="0"/>
        <v>Machine Learning</v>
      </c>
      <c r="I62" t="str">
        <f>IF(AND(Sheet1[[#This Row],[Attendance ]]&gt;65,Sheet1[[#This Row],[Attendance ]]&lt;75),"Yes","No")</f>
        <v>No</v>
      </c>
      <c r="J62" t="str">
        <f>IF(Sheet1[[#This Row],[Attendance ]]&lt;65,"Yes","No")</f>
        <v>No</v>
      </c>
    </row>
    <row r="63" spans="1:16" x14ac:dyDescent="0.35">
      <c r="A63" t="s">
        <v>97</v>
      </c>
      <c r="B63" t="s">
        <v>98</v>
      </c>
      <c r="C63" t="s">
        <v>20</v>
      </c>
      <c r="D63">
        <v>69.510000000000005</v>
      </c>
      <c r="E63" t="s">
        <v>5</v>
      </c>
      <c r="F63">
        <v>5.69</v>
      </c>
      <c r="G63" t="s">
        <v>26</v>
      </c>
      <c r="H63" t="str">
        <f t="shared" si="0"/>
        <v>Passed</v>
      </c>
      <c r="I63" t="str">
        <f>IF(AND(Sheet1[[#This Row],[Attendance ]]&gt;65,Sheet1[[#This Row],[Attendance ]]&lt;75),"Yes","No")</f>
        <v>Yes</v>
      </c>
      <c r="J63" t="str">
        <f>IF(Sheet1[[#This Row],[Attendance ]]&lt;65,"Yes","No")</f>
        <v>No</v>
      </c>
      <c r="K63" t="str">
        <f t="shared" ref="K63:K64" si="5">CHOOSE(MOD(ROW()-2,8)+1,
"Kadapa",
"Ananthapur",
"Rayachoti",
"Nellore",
"Chittoor",
"Madanapalli",
"Rajampeta",
"Tirupati")</f>
        <v>Madanapalli</v>
      </c>
      <c r="L63" t="str">
        <f t="shared" ref="L63:L64" si="6">IF(AND(G61="4th Year",E61="Pass",F61&gt;=7),"Yes","No")</f>
        <v>No</v>
      </c>
    </row>
    <row r="64" spans="1:16" x14ac:dyDescent="0.35">
      <c r="A64" t="s">
        <v>99</v>
      </c>
      <c r="B64" t="s">
        <v>43</v>
      </c>
      <c r="C64" t="s">
        <v>9</v>
      </c>
      <c r="D64">
        <v>70.17</v>
      </c>
      <c r="E64" t="s">
        <v>5</v>
      </c>
      <c r="F64">
        <v>6.41</v>
      </c>
      <c r="G64" t="s">
        <v>11</v>
      </c>
      <c r="H64" t="str">
        <f t="shared" si="0"/>
        <v>Passed</v>
      </c>
      <c r="I64" t="str">
        <f>IF(AND(Sheet1[[#This Row],[Attendance ]]&gt;65,Sheet1[[#This Row],[Attendance ]]&lt;75),"Yes","No")</f>
        <v>Yes</v>
      </c>
      <c r="J64" t="str">
        <f>IF(Sheet1[[#This Row],[Attendance ]]&lt;65,"Yes","No")</f>
        <v>No</v>
      </c>
      <c r="K64" t="str">
        <f t="shared" si="5"/>
        <v>Rajampeta</v>
      </c>
      <c r="L64" t="str">
        <f t="shared" si="6"/>
        <v>No</v>
      </c>
    </row>
    <row r="65" spans="1:14" hidden="1" x14ac:dyDescent="0.35">
      <c r="A65" t="s">
        <v>100</v>
      </c>
      <c r="B65" t="s">
        <v>45</v>
      </c>
      <c r="C65" t="s">
        <v>35</v>
      </c>
      <c r="D65">
        <v>75.150000000000006</v>
      </c>
      <c r="E65" t="s">
        <v>10</v>
      </c>
      <c r="F65">
        <v>7.85</v>
      </c>
      <c r="G65" t="s">
        <v>28</v>
      </c>
      <c r="H65" t="str">
        <f t="shared" si="0"/>
        <v>Machine Learning</v>
      </c>
      <c r="I65" t="str">
        <f>IF(AND(Sheet1[[#This Row],[Attendance ]]&gt;65,Sheet1[[#This Row],[Attendance ]]&lt;75),"Yes","No")</f>
        <v>No</v>
      </c>
      <c r="J65" t="str">
        <f>IF(Sheet1[[#This Row],[Attendance ]]&lt;65,"Yes","No")</f>
        <v>No</v>
      </c>
    </row>
    <row r="66" spans="1:14" x14ac:dyDescent="0.35">
      <c r="A66" t="s">
        <v>101</v>
      </c>
      <c r="B66" t="s">
        <v>17</v>
      </c>
      <c r="C66" t="s">
        <v>23</v>
      </c>
      <c r="D66">
        <v>70.2</v>
      </c>
      <c r="E66" t="s">
        <v>5</v>
      </c>
      <c r="F66">
        <v>5.94</v>
      </c>
      <c r="G66" t="s">
        <v>6</v>
      </c>
      <c r="H66" t="str">
        <f t="shared" ref="H66:H129" si="7">IF(E66="Pass","Passed",
IF(G66="1st Year","M1",
IF(G66="2nd Year","DBMS",
IF(G66="3rd Year","Machine Learning",
IF(G66="4th Year","Deep Learning","")))))</f>
        <v>Passed</v>
      </c>
      <c r="I66" t="str">
        <f>IF(AND(Sheet1[[#This Row],[Attendance ]]&gt;65,Sheet1[[#This Row],[Attendance ]]&lt;75),"Yes","No")</f>
        <v>Yes</v>
      </c>
      <c r="J66" t="str">
        <f>IF(Sheet1[[#This Row],[Attendance ]]&lt;65,"Yes","No")</f>
        <v>No</v>
      </c>
      <c r="K66" t="str">
        <f t="shared" ref="K66:K68" si="8">CHOOSE(MOD(ROW()-2,8)+1,
"Kadapa",
"Ananthapur",
"Rayachoti",
"Nellore",
"Chittoor",
"Madanapalli",
"Rajampeta",
"Tirupati")</f>
        <v>Kadapa</v>
      </c>
      <c r="L66" t="str">
        <f t="shared" ref="L66:L68" si="9">IF(AND(G64="4th Year",E64="Pass",F64&gt;=7),"Yes","No")</f>
        <v>No</v>
      </c>
      <c r="N66">
        <f>COUNTIF(A1:L1001,"Not Available")</f>
        <v>0</v>
      </c>
    </row>
    <row r="67" spans="1:14" x14ac:dyDescent="0.35">
      <c r="A67" t="s">
        <v>102</v>
      </c>
      <c r="B67" t="s">
        <v>103</v>
      </c>
      <c r="C67" t="s">
        <v>20</v>
      </c>
      <c r="D67">
        <v>65.790000000000006</v>
      </c>
      <c r="E67" t="s">
        <v>5</v>
      </c>
      <c r="F67">
        <v>6.58</v>
      </c>
      <c r="G67" t="s">
        <v>11</v>
      </c>
      <c r="H67" t="str">
        <f t="shared" si="7"/>
        <v>Passed</v>
      </c>
      <c r="I67" t="str">
        <f>IF(AND(Sheet1[[#This Row],[Attendance ]]&gt;65,Sheet1[[#This Row],[Attendance ]]&lt;75),"Yes","No")</f>
        <v>Yes</v>
      </c>
      <c r="J67" t="str">
        <f>IF(Sheet1[[#This Row],[Attendance ]]&lt;65,"Yes","No")</f>
        <v>No</v>
      </c>
      <c r="K67" t="str">
        <f t="shared" si="8"/>
        <v>Ananthapur</v>
      </c>
      <c r="L67" t="str">
        <f t="shared" si="9"/>
        <v>No</v>
      </c>
    </row>
    <row r="68" spans="1:14" x14ac:dyDescent="0.35">
      <c r="A68" t="s">
        <v>104</v>
      </c>
      <c r="B68" t="s">
        <v>22</v>
      </c>
      <c r="C68" t="s">
        <v>35</v>
      </c>
      <c r="D68">
        <v>66.77</v>
      </c>
      <c r="E68" t="s">
        <v>5</v>
      </c>
      <c r="F68">
        <v>7.38</v>
      </c>
      <c r="G68" t="s">
        <v>28</v>
      </c>
      <c r="H68" t="str">
        <f t="shared" si="7"/>
        <v>Passed</v>
      </c>
      <c r="I68" t="str">
        <f>IF(AND(Sheet1[[#This Row],[Attendance ]]&gt;65,Sheet1[[#This Row],[Attendance ]]&lt;75),"Yes","No")</f>
        <v>Yes</v>
      </c>
      <c r="J68" t="str">
        <f>IF(Sheet1[[#This Row],[Attendance ]]&lt;65,"Yes","No")</f>
        <v>No</v>
      </c>
      <c r="K68" t="str">
        <f t="shared" si="8"/>
        <v>Rayachoti</v>
      </c>
      <c r="L68" t="str">
        <f t="shared" si="9"/>
        <v>No</v>
      </c>
    </row>
    <row r="69" spans="1:14" hidden="1" x14ac:dyDescent="0.35">
      <c r="A69" t="s">
        <v>105</v>
      </c>
      <c r="B69" t="s">
        <v>63</v>
      </c>
      <c r="C69" t="s">
        <v>35</v>
      </c>
      <c r="D69">
        <v>95.1</v>
      </c>
      <c r="E69" t="s">
        <v>5</v>
      </c>
      <c r="F69">
        <v>6.33</v>
      </c>
      <c r="G69" t="s">
        <v>6</v>
      </c>
      <c r="H69" t="str">
        <f t="shared" si="7"/>
        <v>Passed</v>
      </c>
      <c r="I69" t="str">
        <f>IF(AND(Sheet1[[#This Row],[Attendance ]]&gt;65,Sheet1[[#This Row],[Attendance ]]&lt;75),"Yes","No")</f>
        <v>No</v>
      </c>
      <c r="J69" t="str">
        <f>IF(Sheet1[[#This Row],[Attendance ]]&lt;65,"Yes","No")</f>
        <v>No</v>
      </c>
    </row>
    <row r="70" spans="1:14" hidden="1" x14ac:dyDescent="0.35">
      <c r="A70" t="s">
        <v>106</v>
      </c>
      <c r="B70" t="s">
        <v>107</v>
      </c>
      <c r="C70" t="s">
        <v>13</v>
      </c>
      <c r="D70">
        <v>81.45</v>
      </c>
      <c r="E70" t="s">
        <v>5</v>
      </c>
      <c r="F70">
        <v>5.55</v>
      </c>
      <c r="G70" t="s">
        <v>26</v>
      </c>
      <c r="H70" t="str">
        <f t="shared" si="7"/>
        <v>Passed</v>
      </c>
      <c r="I70" t="str">
        <f>IF(AND(Sheet1[[#This Row],[Attendance ]]&gt;65,Sheet1[[#This Row],[Attendance ]]&lt;75),"Yes","No")</f>
        <v>No</v>
      </c>
      <c r="J70" t="str">
        <f>IF(Sheet1[[#This Row],[Attendance ]]&lt;65,"Yes","No")</f>
        <v>No</v>
      </c>
    </row>
    <row r="71" spans="1:14" hidden="1" x14ac:dyDescent="0.35">
      <c r="A71" t="s">
        <v>108</v>
      </c>
      <c r="B71" t="s">
        <v>30</v>
      </c>
      <c r="C71" t="s">
        <v>20</v>
      </c>
      <c r="D71">
        <v>94.87</v>
      </c>
      <c r="E71" t="s">
        <v>5</v>
      </c>
      <c r="F71">
        <v>8.8699999999999992</v>
      </c>
      <c r="G71" t="s">
        <v>28</v>
      </c>
      <c r="H71" t="str">
        <f t="shared" si="7"/>
        <v>Passed</v>
      </c>
      <c r="I71" t="str">
        <f>IF(AND(Sheet1[[#This Row],[Attendance ]]&gt;65,Sheet1[[#This Row],[Attendance ]]&lt;75),"Yes","No")</f>
        <v>No</v>
      </c>
      <c r="J71" t="str">
        <f>IF(Sheet1[[#This Row],[Attendance ]]&lt;65,"Yes","No")</f>
        <v>No</v>
      </c>
    </row>
    <row r="72" spans="1:14" hidden="1" x14ac:dyDescent="0.35">
      <c r="A72" t="s">
        <v>109</v>
      </c>
      <c r="B72" t="s">
        <v>110</v>
      </c>
      <c r="C72" t="s">
        <v>23</v>
      </c>
      <c r="D72">
        <v>89.85</v>
      </c>
      <c r="E72" t="s">
        <v>10</v>
      </c>
      <c r="F72">
        <v>7.8</v>
      </c>
      <c r="G72" t="s">
        <v>26</v>
      </c>
      <c r="H72" t="str">
        <f t="shared" si="7"/>
        <v>Deep Learning</v>
      </c>
      <c r="I72" t="str">
        <f>IF(AND(Sheet1[[#This Row],[Attendance ]]&gt;65,Sheet1[[#This Row],[Attendance ]]&lt;75),"Yes","No")</f>
        <v>No</v>
      </c>
      <c r="J72" t="str">
        <f>IF(Sheet1[[#This Row],[Attendance ]]&lt;65,"Yes","No")</f>
        <v>No</v>
      </c>
    </row>
    <row r="73" spans="1:14" hidden="1" x14ac:dyDescent="0.35">
      <c r="A73" t="s">
        <v>111</v>
      </c>
      <c r="B73" t="s">
        <v>43</v>
      </c>
      <c r="C73" t="s">
        <v>13</v>
      </c>
      <c r="D73">
        <v>95.54</v>
      </c>
      <c r="E73" t="s">
        <v>5</v>
      </c>
      <c r="F73">
        <v>5.0999999999999996</v>
      </c>
      <c r="G73" t="s">
        <v>28</v>
      </c>
      <c r="H73" t="str">
        <f t="shared" si="7"/>
        <v>Passed</v>
      </c>
      <c r="I73" t="str">
        <f>IF(AND(Sheet1[[#This Row],[Attendance ]]&gt;65,Sheet1[[#This Row],[Attendance ]]&lt;75),"Yes","No")</f>
        <v>No</v>
      </c>
      <c r="J73" t="str">
        <f>IF(Sheet1[[#This Row],[Attendance ]]&lt;65,"Yes","No")</f>
        <v>No</v>
      </c>
    </row>
    <row r="74" spans="1:14" hidden="1" x14ac:dyDescent="0.35">
      <c r="A74" t="s">
        <v>112</v>
      </c>
      <c r="B74" t="s">
        <v>63</v>
      </c>
      <c r="C74" t="s">
        <v>23</v>
      </c>
      <c r="D74">
        <v>82.37</v>
      </c>
      <c r="E74" t="s">
        <v>5</v>
      </c>
      <c r="F74">
        <v>8.1</v>
      </c>
      <c r="G74" t="s">
        <v>26</v>
      </c>
      <c r="H74" t="str">
        <f t="shared" si="7"/>
        <v>Passed</v>
      </c>
      <c r="I74" t="str">
        <f>IF(AND(Sheet1[[#This Row],[Attendance ]]&gt;65,Sheet1[[#This Row],[Attendance ]]&lt;75),"Yes","No")</f>
        <v>No</v>
      </c>
      <c r="J74" t="str">
        <f>IF(Sheet1[[#This Row],[Attendance ]]&lt;65,"Yes","No")</f>
        <v>No</v>
      </c>
    </row>
    <row r="75" spans="1:14" x14ac:dyDescent="0.35">
      <c r="A75" t="s">
        <v>113</v>
      </c>
      <c r="B75" t="s">
        <v>98</v>
      </c>
      <c r="C75" t="s">
        <v>9</v>
      </c>
      <c r="D75">
        <v>68.39</v>
      </c>
      <c r="E75" t="s">
        <v>5</v>
      </c>
      <c r="F75">
        <v>7.11</v>
      </c>
      <c r="G75" t="s">
        <v>11</v>
      </c>
      <c r="H75" t="str">
        <f t="shared" si="7"/>
        <v>Passed</v>
      </c>
      <c r="I75" t="str">
        <f>IF(AND(Sheet1[[#This Row],[Attendance ]]&gt;65,Sheet1[[#This Row],[Attendance ]]&lt;75),"Yes","No")</f>
        <v>Yes</v>
      </c>
      <c r="J75" t="str">
        <f>IF(Sheet1[[#This Row],[Attendance ]]&lt;65,"Yes","No")</f>
        <v>No</v>
      </c>
      <c r="K75" t="str">
        <f>CHOOSE(MOD(ROW()-2,8)+1,
"Kadapa",
"Ananthapur",
"Rayachoti",
"Nellore",
"Chittoor",
"Madanapalli",
"Rajampeta",
"Tirupati")</f>
        <v>Ananthapur</v>
      </c>
      <c r="L75" t="str">
        <f>IF(AND(G73="4th Year",E73="Pass",F73&gt;=7),"Yes","No")</f>
        <v>No</v>
      </c>
    </row>
    <row r="76" spans="1:14" hidden="1" x14ac:dyDescent="0.35">
      <c r="A76" t="s">
        <v>114</v>
      </c>
      <c r="B76" t="s">
        <v>70</v>
      </c>
      <c r="C76" t="s">
        <v>13</v>
      </c>
      <c r="D76">
        <v>88.56</v>
      </c>
      <c r="E76" t="s">
        <v>5</v>
      </c>
      <c r="F76">
        <v>8.99</v>
      </c>
      <c r="G76" t="s">
        <v>28</v>
      </c>
      <c r="H76" t="str">
        <f t="shared" si="7"/>
        <v>Passed</v>
      </c>
      <c r="I76" t="str">
        <f>IF(AND(Sheet1[[#This Row],[Attendance ]]&gt;65,Sheet1[[#This Row],[Attendance ]]&lt;75),"Yes","No")</f>
        <v>No</v>
      </c>
      <c r="J76" t="str">
        <f>IF(Sheet1[[#This Row],[Attendance ]]&lt;65,"Yes","No")</f>
        <v>No</v>
      </c>
    </row>
    <row r="77" spans="1:14" hidden="1" x14ac:dyDescent="0.35">
      <c r="A77" t="s">
        <v>115</v>
      </c>
      <c r="B77" t="s">
        <v>116</v>
      </c>
      <c r="C77" t="s">
        <v>13</v>
      </c>
      <c r="D77">
        <v>78.53</v>
      </c>
      <c r="E77" t="s">
        <v>5</v>
      </c>
      <c r="F77">
        <v>8.48</v>
      </c>
      <c r="G77" t="s">
        <v>11</v>
      </c>
      <c r="H77" t="str">
        <f t="shared" si="7"/>
        <v>Passed</v>
      </c>
      <c r="I77" t="str">
        <f>IF(AND(Sheet1[[#This Row],[Attendance ]]&gt;65,Sheet1[[#This Row],[Attendance ]]&lt;75),"Yes","No")</f>
        <v>No</v>
      </c>
      <c r="J77" t="str">
        <f>IF(Sheet1[[#This Row],[Attendance ]]&lt;65,"Yes","No")</f>
        <v>No</v>
      </c>
    </row>
    <row r="78" spans="1:14" x14ac:dyDescent="0.35">
      <c r="A78" t="s">
        <v>117</v>
      </c>
      <c r="B78" t="s">
        <v>107</v>
      </c>
      <c r="C78" t="s">
        <v>35</v>
      </c>
      <c r="D78">
        <v>66.099999999999994</v>
      </c>
      <c r="E78" t="s">
        <v>5</v>
      </c>
      <c r="F78">
        <v>7.79</v>
      </c>
      <c r="G78" t="s">
        <v>11</v>
      </c>
      <c r="H78" t="str">
        <f t="shared" si="7"/>
        <v>Passed</v>
      </c>
      <c r="I78" t="str">
        <f>IF(AND(Sheet1[[#This Row],[Attendance ]]&gt;65,Sheet1[[#This Row],[Attendance ]]&lt;75),"Yes","No")</f>
        <v>Yes</v>
      </c>
      <c r="J78" t="str">
        <f>IF(Sheet1[[#This Row],[Attendance ]]&lt;65,"Yes","No")</f>
        <v>No</v>
      </c>
      <c r="K78" t="str">
        <f>CHOOSE(MOD(ROW()-2,8)+1,
"Kadapa",
"Ananthapur",
"Rayachoti",
"Nellore",
"Chittoor",
"Madanapalli",
"Rajampeta",
"Tirupati")</f>
        <v>Chittoor</v>
      </c>
      <c r="L78" t="str">
        <f>IF(AND(G76="4th Year",E76="Pass",F76&gt;=7),"Yes","No")</f>
        <v>No</v>
      </c>
    </row>
    <row r="79" spans="1:14" hidden="1" x14ac:dyDescent="0.35">
      <c r="A79" t="s">
        <v>118</v>
      </c>
      <c r="B79" t="s">
        <v>63</v>
      </c>
      <c r="C79" t="s">
        <v>35</v>
      </c>
      <c r="D79">
        <v>99.76</v>
      </c>
      <c r="E79" t="s">
        <v>5</v>
      </c>
      <c r="F79">
        <v>7</v>
      </c>
      <c r="G79" t="s">
        <v>6</v>
      </c>
      <c r="H79" t="str">
        <f t="shared" si="7"/>
        <v>Passed</v>
      </c>
      <c r="I79" t="str">
        <f>IF(AND(Sheet1[[#This Row],[Attendance ]]&gt;65,Sheet1[[#This Row],[Attendance ]]&lt;75),"Yes","No")</f>
        <v>No</v>
      </c>
      <c r="J79" t="str">
        <f>IF(Sheet1[[#This Row],[Attendance ]]&lt;65,"Yes","No")</f>
        <v>No</v>
      </c>
    </row>
    <row r="80" spans="1:14" hidden="1" x14ac:dyDescent="0.35">
      <c r="A80" t="s">
        <v>119</v>
      </c>
      <c r="B80" t="s">
        <v>43</v>
      </c>
      <c r="C80" t="s">
        <v>35</v>
      </c>
      <c r="D80">
        <v>84.44</v>
      </c>
      <c r="E80" t="s">
        <v>5</v>
      </c>
      <c r="F80">
        <v>6.71</v>
      </c>
      <c r="G80" t="s">
        <v>26</v>
      </c>
      <c r="H80" t="str">
        <f t="shared" si="7"/>
        <v>Passed</v>
      </c>
      <c r="I80" t="str">
        <f>IF(AND(Sheet1[[#This Row],[Attendance ]]&gt;65,Sheet1[[#This Row],[Attendance ]]&lt;75),"Yes","No")</f>
        <v>No</v>
      </c>
      <c r="J80" t="str">
        <f>IF(Sheet1[[#This Row],[Attendance ]]&lt;65,"Yes","No")</f>
        <v>No</v>
      </c>
    </row>
    <row r="81" spans="1:15" hidden="1" x14ac:dyDescent="0.35">
      <c r="A81" t="s">
        <v>120</v>
      </c>
      <c r="B81" t="s">
        <v>61</v>
      </c>
      <c r="C81" t="s">
        <v>13</v>
      </c>
      <c r="D81">
        <v>76.16</v>
      </c>
      <c r="E81" t="s">
        <v>5</v>
      </c>
      <c r="F81">
        <v>7.21</v>
      </c>
      <c r="G81" t="s">
        <v>28</v>
      </c>
      <c r="H81" t="str">
        <f t="shared" si="7"/>
        <v>Passed</v>
      </c>
      <c r="I81" t="str">
        <f>IF(AND(Sheet1[[#This Row],[Attendance ]]&gt;65,Sheet1[[#This Row],[Attendance ]]&lt;75),"Yes","No")</f>
        <v>No</v>
      </c>
      <c r="J81" t="str">
        <f>IF(Sheet1[[#This Row],[Attendance ]]&lt;65,"Yes","No")</f>
        <v>No</v>
      </c>
    </row>
    <row r="82" spans="1:15" x14ac:dyDescent="0.35">
      <c r="A82" t="s">
        <v>121</v>
      </c>
      <c r="B82" t="s">
        <v>3</v>
      </c>
      <c r="C82" t="s">
        <v>9</v>
      </c>
      <c r="D82">
        <v>72.8</v>
      </c>
      <c r="E82" t="s">
        <v>5</v>
      </c>
      <c r="F82">
        <v>6.3</v>
      </c>
      <c r="G82" t="s">
        <v>26</v>
      </c>
      <c r="H82" t="str">
        <f t="shared" si="7"/>
        <v>Passed</v>
      </c>
      <c r="I82" t="str">
        <f>IF(AND(Sheet1[[#This Row],[Attendance ]]&gt;65,Sheet1[[#This Row],[Attendance ]]&lt;75),"Yes","No")</f>
        <v>Yes</v>
      </c>
      <c r="J82" t="str">
        <f>IF(Sheet1[[#This Row],[Attendance ]]&lt;65,"Yes","No")</f>
        <v>No</v>
      </c>
      <c r="K82" t="str">
        <f t="shared" ref="K82:K83" si="10">CHOOSE(MOD(ROW()-2,8)+1,
"Kadapa",
"Ananthapur",
"Rayachoti",
"Nellore",
"Chittoor",
"Madanapalli",
"Rajampeta",
"Tirupati")</f>
        <v>Kadapa</v>
      </c>
      <c r="L82" t="str">
        <f t="shared" ref="L82:L83" si="11">IF(AND(G80="4th Year",E80="Pass",F80&gt;=7),"Yes","No")</f>
        <v>No</v>
      </c>
      <c r="O82" t="s">
        <v>1075</v>
      </c>
    </row>
    <row r="83" spans="1:15" x14ac:dyDescent="0.35">
      <c r="A83" t="s">
        <v>122</v>
      </c>
      <c r="B83" t="s">
        <v>30</v>
      </c>
      <c r="C83" t="s">
        <v>35</v>
      </c>
      <c r="D83">
        <v>73.81</v>
      </c>
      <c r="E83" t="s">
        <v>5</v>
      </c>
      <c r="F83">
        <v>9.19</v>
      </c>
      <c r="G83" t="s">
        <v>11</v>
      </c>
      <c r="H83" t="str">
        <f t="shared" si="7"/>
        <v>Passed</v>
      </c>
      <c r="I83" t="str">
        <f>IF(AND(Sheet1[[#This Row],[Attendance ]]&gt;65,Sheet1[[#This Row],[Attendance ]]&lt;75),"Yes","No")</f>
        <v>Yes</v>
      </c>
      <c r="J83" t="str">
        <f>IF(Sheet1[[#This Row],[Attendance ]]&lt;65,"Yes","No")</f>
        <v>No</v>
      </c>
      <c r="K83" t="str">
        <f t="shared" si="10"/>
        <v>Ananthapur</v>
      </c>
      <c r="L83" t="str">
        <f t="shared" si="11"/>
        <v>No</v>
      </c>
      <c r="O83">
        <f>COUNTIF(E1:E1001,"Pass")</f>
        <v>881</v>
      </c>
    </row>
    <row r="84" spans="1:15" hidden="1" x14ac:dyDescent="0.35">
      <c r="A84" t="s">
        <v>123</v>
      </c>
      <c r="B84" t="s">
        <v>72</v>
      </c>
      <c r="C84" t="s">
        <v>35</v>
      </c>
      <c r="D84">
        <v>97.39</v>
      </c>
      <c r="E84" t="s">
        <v>5</v>
      </c>
      <c r="F84">
        <v>5.0599999999999996</v>
      </c>
      <c r="G84" t="s">
        <v>26</v>
      </c>
      <c r="H84" t="str">
        <f t="shared" si="7"/>
        <v>Passed</v>
      </c>
      <c r="I84" t="str">
        <f>IF(AND(Sheet1[[#This Row],[Attendance ]]&gt;65,Sheet1[[#This Row],[Attendance ]]&lt;75),"Yes","No")</f>
        <v>No</v>
      </c>
      <c r="J84" t="str">
        <f>IF(Sheet1[[#This Row],[Attendance ]]&lt;65,"Yes","No")</f>
        <v>No</v>
      </c>
    </row>
    <row r="85" spans="1:15" x14ac:dyDescent="0.35">
      <c r="A85" t="s">
        <v>124</v>
      </c>
      <c r="B85" t="s">
        <v>25</v>
      </c>
      <c r="C85" t="s">
        <v>35</v>
      </c>
      <c r="D85">
        <v>69.55</v>
      </c>
      <c r="E85" t="s">
        <v>5</v>
      </c>
      <c r="F85">
        <v>9.74</v>
      </c>
      <c r="G85" t="s">
        <v>6</v>
      </c>
      <c r="H85" t="str">
        <f t="shared" si="7"/>
        <v>Passed</v>
      </c>
      <c r="I85" t="str">
        <f>IF(AND(Sheet1[[#This Row],[Attendance ]]&gt;65,Sheet1[[#This Row],[Attendance ]]&lt;75),"Yes","No")</f>
        <v>Yes</v>
      </c>
      <c r="J85" t="str">
        <f>IF(Sheet1[[#This Row],[Attendance ]]&lt;65,"Yes","No")</f>
        <v>No</v>
      </c>
      <c r="K85" t="str">
        <f t="shared" ref="K85:K88" si="12">CHOOSE(MOD(ROW()-2,8)+1,
"Kadapa",
"Ananthapur",
"Rayachoti",
"Nellore",
"Chittoor",
"Madanapalli",
"Rajampeta",
"Tirupati")</f>
        <v>Nellore</v>
      </c>
      <c r="L85" t="str">
        <f t="shared" ref="L85:L88" si="13">IF(AND(G83="4th Year",E83="Pass",F83&gt;=7),"Yes","No")</f>
        <v>No</v>
      </c>
    </row>
    <row r="86" spans="1:15" x14ac:dyDescent="0.35">
      <c r="A86" t="s">
        <v>125</v>
      </c>
      <c r="B86" t="s">
        <v>72</v>
      </c>
      <c r="C86" t="s">
        <v>20</v>
      </c>
      <c r="D86">
        <v>65.36</v>
      </c>
      <c r="E86" t="s">
        <v>5</v>
      </c>
      <c r="F86">
        <v>6.88</v>
      </c>
      <c r="G86" t="s">
        <v>6</v>
      </c>
      <c r="H86" t="str">
        <f t="shared" si="7"/>
        <v>Passed</v>
      </c>
      <c r="I86" t="str">
        <f>IF(AND(Sheet1[[#This Row],[Attendance ]]&gt;65,Sheet1[[#This Row],[Attendance ]]&lt;75),"Yes","No")</f>
        <v>Yes</v>
      </c>
      <c r="J86" t="str">
        <f>IF(Sheet1[[#This Row],[Attendance ]]&lt;65,"Yes","No")</f>
        <v>No</v>
      </c>
      <c r="K86" t="str">
        <f t="shared" si="12"/>
        <v>Chittoor</v>
      </c>
      <c r="L86" t="str">
        <f t="shared" si="13"/>
        <v>No</v>
      </c>
    </row>
    <row r="87" spans="1:15" x14ac:dyDescent="0.35">
      <c r="A87" t="s">
        <v>126</v>
      </c>
      <c r="B87" t="s">
        <v>72</v>
      </c>
      <c r="C87" t="s">
        <v>9</v>
      </c>
      <c r="D87">
        <v>70.930000000000007</v>
      </c>
      <c r="E87" t="s">
        <v>5</v>
      </c>
      <c r="F87">
        <v>5.27</v>
      </c>
      <c r="G87" t="s">
        <v>28</v>
      </c>
      <c r="H87" t="str">
        <f t="shared" si="7"/>
        <v>Passed</v>
      </c>
      <c r="I87" t="str">
        <f>IF(AND(Sheet1[[#This Row],[Attendance ]]&gt;65,Sheet1[[#This Row],[Attendance ]]&lt;75),"Yes","No")</f>
        <v>Yes</v>
      </c>
      <c r="J87" t="str">
        <f>IF(Sheet1[[#This Row],[Attendance ]]&lt;65,"Yes","No")</f>
        <v>No</v>
      </c>
      <c r="K87" t="str">
        <f t="shared" si="12"/>
        <v>Madanapalli</v>
      </c>
      <c r="L87" t="str">
        <f t="shared" si="13"/>
        <v>No</v>
      </c>
    </row>
    <row r="88" spans="1:15" x14ac:dyDescent="0.35">
      <c r="A88" t="s">
        <v>127</v>
      </c>
      <c r="B88" t="s">
        <v>37</v>
      </c>
      <c r="C88" t="s">
        <v>13</v>
      </c>
      <c r="D88">
        <v>69.22</v>
      </c>
      <c r="E88" t="s">
        <v>5</v>
      </c>
      <c r="F88">
        <v>5.23</v>
      </c>
      <c r="G88" t="s">
        <v>6</v>
      </c>
      <c r="H88" t="str">
        <f t="shared" si="7"/>
        <v>Passed</v>
      </c>
      <c r="I88" t="str">
        <f>IF(AND(Sheet1[[#This Row],[Attendance ]]&gt;65,Sheet1[[#This Row],[Attendance ]]&lt;75),"Yes","No")</f>
        <v>Yes</v>
      </c>
      <c r="J88" t="str">
        <f>IF(Sheet1[[#This Row],[Attendance ]]&lt;65,"Yes","No")</f>
        <v>No</v>
      </c>
      <c r="K88" t="str">
        <f t="shared" si="12"/>
        <v>Rajampeta</v>
      </c>
      <c r="L88" t="str">
        <f t="shared" si="13"/>
        <v>No</v>
      </c>
    </row>
    <row r="89" spans="1:15" hidden="1" x14ac:dyDescent="0.35">
      <c r="A89" t="s">
        <v>128</v>
      </c>
      <c r="B89" t="s">
        <v>22</v>
      </c>
      <c r="C89" t="s">
        <v>13</v>
      </c>
      <c r="D89">
        <v>77.27</v>
      </c>
      <c r="E89" t="s">
        <v>5</v>
      </c>
      <c r="F89">
        <v>8.83</v>
      </c>
      <c r="G89" t="s">
        <v>28</v>
      </c>
      <c r="H89" t="str">
        <f t="shared" si="7"/>
        <v>Passed</v>
      </c>
      <c r="I89" t="str">
        <f>IF(AND(Sheet1[[#This Row],[Attendance ]]&gt;65,Sheet1[[#This Row],[Attendance ]]&lt;75),"Yes","No")</f>
        <v>No</v>
      </c>
      <c r="J89" t="str">
        <f>IF(Sheet1[[#This Row],[Attendance ]]&lt;65,"Yes","No")</f>
        <v>No</v>
      </c>
    </row>
    <row r="90" spans="1:15" x14ac:dyDescent="0.35">
      <c r="A90" t="s">
        <v>129</v>
      </c>
      <c r="B90" t="s">
        <v>43</v>
      </c>
      <c r="C90" t="s">
        <v>13</v>
      </c>
      <c r="D90">
        <v>68.33</v>
      </c>
      <c r="E90" t="s">
        <v>5</v>
      </c>
      <c r="F90">
        <v>7.95</v>
      </c>
      <c r="G90" t="s">
        <v>26</v>
      </c>
      <c r="H90" t="str">
        <f t="shared" si="7"/>
        <v>Passed</v>
      </c>
      <c r="I90" t="str">
        <f>IF(AND(Sheet1[[#This Row],[Attendance ]]&gt;65,Sheet1[[#This Row],[Attendance ]]&lt;75),"Yes","No")</f>
        <v>Yes</v>
      </c>
      <c r="J90" t="str">
        <f>IF(Sheet1[[#This Row],[Attendance ]]&lt;65,"Yes","No")</f>
        <v>No</v>
      </c>
      <c r="K90" t="str">
        <f t="shared" ref="K90:K92" si="14">CHOOSE(MOD(ROW()-2,8)+1,
"Kadapa",
"Ananthapur",
"Rayachoti",
"Nellore",
"Chittoor",
"Madanapalli",
"Rajampeta",
"Tirupati")</f>
        <v>Kadapa</v>
      </c>
      <c r="L90" t="str">
        <f t="shared" ref="L90:L92" si="15">IF(AND(G88="4th Year",E88="Pass",F88&gt;=7),"Yes","No")</f>
        <v>No</v>
      </c>
      <c r="O90" t="s">
        <v>1076</v>
      </c>
    </row>
    <row r="91" spans="1:15" x14ac:dyDescent="0.35">
      <c r="A91" t="s">
        <v>130</v>
      </c>
      <c r="B91" t="s">
        <v>58</v>
      </c>
      <c r="C91" t="s">
        <v>20</v>
      </c>
      <c r="D91">
        <v>71.42</v>
      </c>
      <c r="E91" t="s">
        <v>5</v>
      </c>
      <c r="F91">
        <v>9.1999999999999993</v>
      </c>
      <c r="G91" t="s">
        <v>26</v>
      </c>
      <c r="H91" t="str">
        <f t="shared" si="7"/>
        <v>Passed</v>
      </c>
      <c r="I91" t="str">
        <f>IF(AND(Sheet1[[#This Row],[Attendance ]]&gt;65,Sheet1[[#This Row],[Attendance ]]&lt;75),"Yes","No")</f>
        <v>Yes</v>
      </c>
      <c r="J91" t="str">
        <f>IF(Sheet1[[#This Row],[Attendance ]]&lt;65,"Yes","No")</f>
        <v>No</v>
      </c>
      <c r="K91" t="str">
        <f t="shared" si="14"/>
        <v>Ananthapur</v>
      </c>
      <c r="L91" t="str">
        <f t="shared" si="15"/>
        <v>No</v>
      </c>
      <c r="O91">
        <f>COUNTIF(E1:E1001,"Fail")</f>
        <v>119</v>
      </c>
    </row>
    <row r="92" spans="1:15" x14ac:dyDescent="0.35">
      <c r="A92" t="s">
        <v>131</v>
      </c>
      <c r="B92" t="s">
        <v>45</v>
      </c>
      <c r="C92" t="s">
        <v>9</v>
      </c>
      <c r="D92">
        <v>65.680000000000007</v>
      </c>
      <c r="E92" t="s">
        <v>5</v>
      </c>
      <c r="F92">
        <v>9.5299999999999994</v>
      </c>
      <c r="G92" t="s">
        <v>28</v>
      </c>
      <c r="H92" t="str">
        <f t="shared" si="7"/>
        <v>Passed</v>
      </c>
      <c r="I92" t="str">
        <f>IF(AND(Sheet1[[#This Row],[Attendance ]]&gt;65,Sheet1[[#This Row],[Attendance ]]&lt;75),"Yes","No")</f>
        <v>Yes</v>
      </c>
      <c r="J92" t="str">
        <f>IF(Sheet1[[#This Row],[Attendance ]]&lt;65,"Yes","No")</f>
        <v>No</v>
      </c>
      <c r="K92" t="str">
        <f t="shared" si="14"/>
        <v>Rayachoti</v>
      </c>
      <c r="L92" t="str">
        <f t="shared" si="15"/>
        <v>Yes</v>
      </c>
    </row>
    <row r="93" spans="1:15" hidden="1" x14ac:dyDescent="0.35">
      <c r="A93" t="s">
        <v>132</v>
      </c>
      <c r="B93" t="s">
        <v>30</v>
      </c>
      <c r="C93" t="s">
        <v>20</v>
      </c>
      <c r="D93">
        <v>76.05</v>
      </c>
      <c r="E93" t="s">
        <v>5</v>
      </c>
      <c r="F93">
        <v>7.8</v>
      </c>
      <c r="G93" t="s">
        <v>6</v>
      </c>
      <c r="H93" t="str">
        <f t="shared" si="7"/>
        <v>Passed</v>
      </c>
      <c r="I93" t="str">
        <f>IF(AND(Sheet1[[#This Row],[Attendance ]]&gt;65,Sheet1[[#This Row],[Attendance ]]&lt;75),"Yes","No")</f>
        <v>No</v>
      </c>
      <c r="J93" t="str">
        <f>IF(Sheet1[[#This Row],[Attendance ]]&lt;65,"Yes","No")</f>
        <v>No</v>
      </c>
    </row>
    <row r="94" spans="1:15" hidden="1" x14ac:dyDescent="0.35">
      <c r="A94" t="s">
        <v>133</v>
      </c>
      <c r="B94" t="s">
        <v>15</v>
      </c>
      <c r="C94" t="s">
        <v>20</v>
      </c>
      <c r="D94">
        <v>79.069999999999993</v>
      </c>
      <c r="E94" t="s">
        <v>5</v>
      </c>
      <c r="F94">
        <v>9.64</v>
      </c>
      <c r="G94" t="s">
        <v>28</v>
      </c>
      <c r="H94" t="str">
        <f t="shared" si="7"/>
        <v>Passed</v>
      </c>
      <c r="I94" t="str">
        <f>IF(AND(Sheet1[[#This Row],[Attendance ]]&gt;65,Sheet1[[#This Row],[Attendance ]]&lt;75),"Yes","No")</f>
        <v>No</v>
      </c>
      <c r="J94" t="str">
        <f>IF(Sheet1[[#This Row],[Attendance ]]&lt;65,"Yes","No")</f>
        <v>No</v>
      </c>
    </row>
    <row r="95" spans="1:15" hidden="1" x14ac:dyDescent="0.35">
      <c r="A95" t="s">
        <v>134</v>
      </c>
      <c r="B95" t="s">
        <v>37</v>
      </c>
      <c r="C95" t="s">
        <v>23</v>
      </c>
      <c r="D95">
        <v>96.48</v>
      </c>
      <c r="E95" t="s">
        <v>5</v>
      </c>
      <c r="F95">
        <v>7.68</v>
      </c>
      <c r="G95" t="s">
        <v>11</v>
      </c>
      <c r="H95" t="str">
        <f t="shared" si="7"/>
        <v>Passed</v>
      </c>
      <c r="I95" t="str">
        <f>IF(AND(Sheet1[[#This Row],[Attendance ]]&gt;65,Sheet1[[#This Row],[Attendance ]]&lt;75),"Yes","No")</f>
        <v>No</v>
      </c>
      <c r="J95" t="str">
        <f>IF(Sheet1[[#This Row],[Attendance ]]&lt;65,"Yes","No")</f>
        <v>No</v>
      </c>
    </row>
    <row r="96" spans="1:15" hidden="1" x14ac:dyDescent="0.35">
      <c r="A96" t="s">
        <v>135</v>
      </c>
      <c r="B96" t="s">
        <v>72</v>
      </c>
      <c r="C96" t="s">
        <v>4</v>
      </c>
      <c r="D96">
        <v>96.07</v>
      </c>
      <c r="E96" t="s">
        <v>5</v>
      </c>
      <c r="F96">
        <v>5.0199999999999996</v>
      </c>
      <c r="G96" t="s">
        <v>28</v>
      </c>
      <c r="H96" t="str">
        <f t="shared" si="7"/>
        <v>Passed</v>
      </c>
      <c r="I96" t="str">
        <f>IF(AND(Sheet1[[#This Row],[Attendance ]]&gt;65,Sheet1[[#This Row],[Attendance ]]&lt;75),"Yes","No")</f>
        <v>No</v>
      </c>
      <c r="J96" t="str">
        <f>IF(Sheet1[[#This Row],[Attendance ]]&lt;65,"Yes","No")</f>
        <v>No</v>
      </c>
    </row>
    <row r="97" spans="1:12" hidden="1" x14ac:dyDescent="0.35">
      <c r="A97" t="s">
        <v>136</v>
      </c>
      <c r="B97" t="s">
        <v>88</v>
      </c>
      <c r="C97" t="s">
        <v>9</v>
      </c>
      <c r="D97">
        <v>61.88</v>
      </c>
      <c r="E97" t="s">
        <v>5</v>
      </c>
      <c r="F97">
        <v>5.92</v>
      </c>
      <c r="G97" t="s">
        <v>26</v>
      </c>
      <c r="H97" t="str">
        <f t="shared" si="7"/>
        <v>Passed</v>
      </c>
      <c r="I97" t="str">
        <f>IF(AND(Sheet1[[#This Row],[Attendance ]]&gt;65,Sheet1[[#This Row],[Attendance ]]&lt;75),"Yes","No")</f>
        <v>No</v>
      </c>
      <c r="J97" t="str">
        <f>IF(Sheet1[[#This Row],[Attendance ]]&lt;65,"Yes","No")</f>
        <v>Yes</v>
      </c>
    </row>
    <row r="98" spans="1:12" hidden="1" x14ac:dyDescent="0.35">
      <c r="A98" t="s">
        <v>137</v>
      </c>
      <c r="B98" t="s">
        <v>77</v>
      </c>
      <c r="C98" t="s">
        <v>20</v>
      </c>
      <c r="D98">
        <v>64.27</v>
      </c>
      <c r="E98" t="s">
        <v>5</v>
      </c>
      <c r="F98">
        <v>8.3800000000000008</v>
      </c>
      <c r="G98" t="s">
        <v>6</v>
      </c>
      <c r="H98" t="str">
        <f t="shared" si="7"/>
        <v>Passed</v>
      </c>
      <c r="I98" t="str">
        <f>IF(AND(Sheet1[[#This Row],[Attendance ]]&gt;65,Sheet1[[#This Row],[Attendance ]]&lt;75),"Yes","No")</f>
        <v>No</v>
      </c>
      <c r="J98" t="str">
        <f>IF(Sheet1[[#This Row],[Attendance ]]&lt;65,"Yes","No")</f>
        <v>Yes</v>
      </c>
    </row>
    <row r="99" spans="1:12" x14ac:dyDescent="0.35">
      <c r="A99" t="s">
        <v>138</v>
      </c>
      <c r="B99" t="s">
        <v>72</v>
      </c>
      <c r="C99" t="s">
        <v>20</v>
      </c>
      <c r="D99">
        <v>67.92</v>
      </c>
      <c r="E99" t="s">
        <v>5</v>
      </c>
      <c r="F99">
        <v>6.23</v>
      </c>
      <c r="G99" t="s">
        <v>11</v>
      </c>
      <c r="H99" t="str">
        <f t="shared" si="7"/>
        <v>Passed</v>
      </c>
      <c r="I99" t="str">
        <f>IF(AND(Sheet1[[#This Row],[Attendance ]]&gt;65,Sheet1[[#This Row],[Attendance ]]&lt;75),"Yes","No")</f>
        <v>Yes</v>
      </c>
      <c r="J99" t="str">
        <f>IF(Sheet1[[#This Row],[Attendance ]]&lt;65,"Yes","No")</f>
        <v>No</v>
      </c>
      <c r="K99" t="str">
        <f>CHOOSE(MOD(ROW()-2,8)+1,
"Kadapa",
"Ananthapur",
"Rayachoti",
"Nellore",
"Chittoor",
"Madanapalli",
"Rajampeta",
"Tirupati")</f>
        <v>Ananthapur</v>
      </c>
      <c r="L99" t="str">
        <f>IF(AND(G97="4th Year",E97="Pass",F97&gt;=7),"Yes","No")</f>
        <v>No</v>
      </c>
    </row>
    <row r="100" spans="1:12" hidden="1" x14ac:dyDescent="0.35">
      <c r="A100" t="s">
        <v>139</v>
      </c>
      <c r="B100" t="s">
        <v>58</v>
      </c>
      <c r="C100" t="s">
        <v>20</v>
      </c>
      <c r="D100">
        <v>98.63</v>
      </c>
      <c r="E100" t="s">
        <v>5</v>
      </c>
      <c r="F100">
        <v>6.82</v>
      </c>
      <c r="G100" t="s">
        <v>26</v>
      </c>
      <c r="H100" t="str">
        <f t="shared" si="7"/>
        <v>Passed</v>
      </c>
      <c r="I100" t="str">
        <f>IF(AND(Sheet1[[#This Row],[Attendance ]]&gt;65,Sheet1[[#This Row],[Attendance ]]&lt;75),"Yes","No")</f>
        <v>No</v>
      </c>
      <c r="J100" t="str">
        <f>IF(Sheet1[[#This Row],[Attendance ]]&lt;65,"Yes","No")</f>
        <v>No</v>
      </c>
    </row>
    <row r="101" spans="1:12" hidden="1" x14ac:dyDescent="0.35">
      <c r="A101" t="s">
        <v>140</v>
      </c>
      <c r="B101" t="s">
        <v>88</v>
      </c>
      <c r="C101" t="s">
        <v>23</v>
      </c>
      <c r="D101">
        <v>60.34</v>
      </c>
      <c r="E101" t="s">
        <v>5</v>
      </c>
      <c r="F101">
        <v>7</v>
      </c>
      <c r="G101" t="s">
        <v>26</v>
      </c>
      <c r="H101" t="str">
        <f t="shared" si="7"/>
        <v>Passed</v>
      </c>
      <c r="I101" t="str">
        <f>IF(AND(Sheet1[[#This Row],[Attendance ]]&gt;65,Sheet1[[#This Row],[Attendance ]]&lt;75),"Yes","No")</f>
        <v>No</v>
      </c>
      <c r="J101" t="str">
        <f>IF(Sheet1[[#This Row],[Attendance ]]&lt;65,"Yes","No")</f>
        <v>Yes</v>
      </c>
    </row>
    <row r="102" spans="1:12" hidden="1" x14ac:dyDescent="0.35">
      <c r="A102" t="s">
        <v>141</v>
      </c>
      <c r="B102" t="s">
        <v>58</v>
      </c>
      <c r="C102" t="s">
        <v>35</v>
      </c>
      <c r="D102">
        <v>95.3</v>
      </c>
      <c r="E102" t="s">
        <v>5</v>
      </c>
      <c r="F102">
        <v>7.32</v>
      </c>
      <c r="G102" t="s">
        <v>11</v>
      </c>
      <c r="H102" t="str">
        <f t="shared" si="7"/>
        <v>Passed</v>
      </c>
      <c r="I102" t="str">
        <f>IF(AND(Sheet1[[#This Row],[Attendance ]]&gt;65,Sheet1[[#This Row],[Attendance ]]&lt;75),"Yes","No")</f>
        <v>No</v>
      </c>
      <c r="J102" t="str">
        <f>IF(Sheet1[[#This Row],[Attendance ]]&lt;65,"Yes","No")</f>
        <v>No</v>
      </c>
    </row>
    <row r="103" spans="1:12" hidden="1" x14ac:dyDescent="0.35">
      <c r="A103" t="s">
        <v>142</v>
      </c>
      <c r="B103" t="s">
        <v>12</v>
      </c>
      <c r="C103" t="s">
        <v>4</v>
      </c>
      <c r="D103">
        <v>91.12</v>
      </c>
      <c r="E103" t="s">
        <v>5</v>
      </c>
      <c r="F103">
        <v>7.68</v>
      </c>
      <c r="G103" t="s">
        <v>11</v>
      </c>
      <c r="H103" t="str">
        <f t="shared" si="7"/>
        <v>Passed</v>
      </c>
      <c r="I103" t="str">
        <f>IF(AND(Sheet1[[#This Row],[Attendance ]]&gt;65,Sheet1[[#This Row],[Attendance ]]&lt;75),"Yes","No")</f>
        <v>No</v>
      </c>
      <c r="J103" t="str">
        <f>IF(Sheet1[[#This Row],[Attendance ]]&lt;65,"Yes","No")</f>
        <v>No</v>
      </c>
    </row>
    <row r="104" spans="1:12" hidden="1" x14ac:dyDescent="0.35">
      <c r="A104" t="s">
        <v>143</v>
      </c>
      <c r="B104" t="s">
        <v>17</v>
      </c>
      <c r="C104" t="s">
        <v>4</v>
      </c>
      <c r="D104">
        <v>88.15</v>
      </c>
      <c r="E104" t="s">
        <v>10</v>
      </c>
      <c r="F104">
        <v>9.75</v>
      </c>
      <c r="G104" t="s">
        <v>11</v>
      </c>
      <c r="H104" t="str">
        <f t="shared" si="7"/>
        <v>M1</v>
      </c>
      <c r="I104" t="str">
        <f>IF(AND(Sheet1[[#This Row],[Attendance ]]&gt;65,Sheet1[[#This Row],[Attendance ]]&lt;75),"Yes","No")</f>
        <v>No</v>
      </c>
      <c r="J104" t="str">
        <f>IF(Sheet1[[#This Row],[Attendance ]]&lt;65,"Yes","No")</f>
        <v>No</v>
      </c>
    </row>
    <row r="105" spans="1:12" hidden="1" x14ac:dyDescent="0.35">
      <c r="A105" t="s">
        <v>144</v>
      </c>
      <c r="B105" t="s">
        <v>45</v>
      </c>
      <c r="C105" t="s">
        <v>35</v>
      </c>
      <c r="D105">
        <v>94.43</v>
      </c>
      <c r="E105" t="s">
        <v>5</v>
      </c>
      <c r="F105">
        <v>7.45</v>
      </c>
      <c r="G105" t="s">
        <v>6</v>
      </c>
      <c r="H105" t="str">
        <f t="shared" si="7"/>
        <v>Passed</v>
      </c>
      <c r="I105" t="str">
        <f>IF(AND(Sheet1[[#This Row],[Attendance ]]&gt;65,Sheet1[[#This Row],[Attendance ]]&lt;75),"Yes","No")</f>
        <v>No</v>
      </c>
      <c r="J105" t="str">
        <f>IF(Sheet1[[#This Row],[Attendance ]]&lt;65,"Yes","No")</f>
        <v>No</v>
      </c>
    </row>
    <row r="106" spans="1:12" hidden="1" x14ac:dyDescent="0.35">
      <c r="A106" t="s">
        <v>145</v>
      </c>
      <c r="B106" t="s">
        <v>43</v>
      </c>
      <c r="C106" t="s">
        <v>9</v>
      </c>
      <c r="D106">
        <v>78.5</v>
      </c>
      <c r="E106" t="s">
        <v>5</v>
      </c>
      <c r="F106">
        <v>8.49</v>
      </c>
      <c r="G106" t="s">
        <v>6</v>
      </c>
      <c r="H106" t="str">
        <f t="shared" si="7"/>
        <v>Passed</v>
      </c>
      <c r="I106" t="str">
        <f>IF(AND(Sheet1[[#This Row],[Attendance ]]&gt;65,Sheet1[[#This Row],[Attendance ]]&lt;75),"Yes","No")</f>
        <v>No</v>
      </c>
      <c r="J106" t="str">
        <f>IF(Sheet1[[#This Row],[Attendance ]]&lt;65,"Yes","No")</f>
        <v>No</v>
      </c>
    </row>
    <row r="107" spans="1:12" hidden="1" x14ac:dyDescent="0.35">
      <c r="A107" t="s">
        <v>146</v>
      </c>
      <c r="B107" t="s">
        <v>70</v>
      </c>
      <c r="C107" t="s">
        <v>23</v>
      </c>
      <c r="D107">
        <v>62.53</v>
      </c>
      <c r="E107" t="s">
        <v>10</v>
      </c>
      <c r="F107">
        <v>6.05</v>
      </c>
      <c r="G107" t="s">
        <v>6</v>
      </c>
      <c r="H107" t="str">
        <f t="shared" si="7"/>
        <v>DBMS</v>
      </c>
      <c r="I107" t="str">
        <f>IF(AND(Sheet1[[#This Row],[Attendance ]]&gt;65,Sheet1[[#This Row],[Attendance ]]&lt;75),"Yes","No")</f>
        <v>No</v>
      </c>
      <c r="J107" t="str">
        <f>IF(Sheet1[[#This Row],[Attendance ]]&lt;65,"Yes","No")</f>
        <v>Yes</v>
      </c>
    </row>
    <row r="108" spans="1:12" hidden="1" x14ac:dyDescent="0.35">
      <c r="A108" t="s">
        <v>147</v>
      </c>
      <c r="B108" t="s">
        <v>63</v>
      </c>
      <c r="C108" t="s">
        <v>35</v>
      </c>
      <c r="D108">
        <v>91.6</v>
      </c>
      <c r="E108" t="s">
        <v>5</v>
      </c>
      <c r="F108">
        <v>8.06</v>
      </c>
      <c r="G108" t="s">
        <v>28</v>
      </c>
      <c r="H108" t="str">
        <f t="shared" si="7"/>
        <v>Passed</v>
      </c>
      <c r="I108" t="str">
        <f>IF(AND(Sheet1[[#This Row],[Attendance ]]&gt;65,Sheet1[[#This Row],[Attendance ]]&lt;75),"Yes","No")</f>
        <v>No</v>
      </c>
      <c r="J108" t="str">
        <f>IF(Sheet1[[#This Row],[Attendance ]]&lt;65,"Yes","No")</f>
        <v>No</v>
      </c>
    </row>
    <row r="109" spans="1:12" hidden="1" x14ac:dyDescent="0.35">
      <c r="A109" t="s">
        <v>148</v>
      </c>
      <c r="B109" t="s">
        <v>149</v>
      </c>
      <c r="C109" t="s">
        <v>9</v>
      </c>
      <c r="D109">
        <v>97.61</v>
      </c>
      <c r="E109" t="s">
        <v>5</v>
      </c>
      <c r="F109">
        <v>7.1</v>
      </c>
      <c r="G109" t="s">
        <v>26</v>
      </c>
      <c r="H109" t="str">
        <f t="shared" si="7"/>
        <v>Passed</v>
      </c>
      <c r="I109" t="str">
        <f>IF(AND(Sheet1[[#This Row],[Attendance ]]&gt;65,Sheet1[[#This Row],[Attendance ]]&lt;75),"Yes","No")</f>
        <v>No</v>
      </c>
      <c r="J109" t="str">
        <f>IF(Sheet1[[#This Row],[Attendance ]]&lt;65,"Yes","No")</f>
        <v>No</v>
      </c>
    </row>
    <row r="110" spans="1:12" hidden="1" x14ac:dyDescent="0.35">
      <c r="A110" t="s">
        <v>150</v>
      </c>
      <c r="B110" t="s">
        <v>25</v>
      </c>
      <c r="C110" t="s">
        <v>20</v>
      </c>
      <c r="D110">
        <v>78.34</v>
      </c>
      <c r="E110" t="s">
        <v>10</v>
      </c>
      <c r="F110">
        <v>8</v>
      </c>
      <c r="G110" t="s">
        <v>6</v>
      </c>
      <c r="H110" t="str">
        <f t="shared" si="7"/>
        <v>DBMS</v>
      </c>
      <c r="I110" t="str">
        <f>IF(AND(Sheet1[[#This Row],[Attendance ]]&gt;65,Sheet1[[#This Row],[Attendance ]]&lt;75),"Yes","No")</f>
        <v>No</v>
      </c>
      <c r="J110" t="str">
        <f>IF(Sheet1[[#This Row],[Attendance ]]&lt;65,"Yes","No")</f>
        <v>No</v>
      </c>
    </row>
    <row r="111" spans="1:12" hidden="1" x14ac:dyDescent="0.35">
      <c r="A111" t="s">
        <v>151</v>
      </c>
      <c r="B111" t="s">
        <v>30</v>
      </c>
      <c r="C111" t="s">
        <v>4</v>
      </c>
      <c r="D111">
        <v>78.56</v>
      </c>
      <c r="E111" t="s">
        <v>5</v>
      </c>
      <c r="F111">
        <v>5.7</v>
      </c>
      <c r="G111" t="s">
        <v>6</v>
      </c>
      <c r="H111" t="str">
        <f t="shared" si="7"/>
        <v>Passed</v>
      </c>
      <c r="I111" t="str">
        <f>IF(AND(Sheet1[[#This Row],[Attendance ]]&gt;65,Sheet1[[#This Row],[Attendance ]]&lt;75),"Yes","No")</f>
        <v>No</v>
      </c>
      <c r="J111" t="str">
        <f>IF(Sheet1[[#This Row],[Attendance ]]&lt;65,"Yes","No")</f>
        <v>No</v>
      </c>
    </row>
    <row r="112" spans="1:12" hidden="1" x14ac:dyDescent="0.35">
      <c r="A112" t="s">
        <v>152</v>
      </c>
      <c r="B112" t="s">
        <v>37</v>
      </c>
      <c r="C112" t="s">
        <v>13</v>
      </c>
      <c r="D112">
        <v>93.62</v>
      </c>
      <c r="E112" t="s">
        <v>5</v>
      </c>
      <c r="F112">
        <v>6.44</v>
      </c>
      <c r="G112" t="s">
        <v>6</v>
      </c>
      <c r="H112" t="str">
        <f t="shared" si="7"/>
        <v>Passed</v>
      </c>
      <c r="I112" t="str">
        <f>IF(AND(Sheet1[[#This Row],[Attendance ]]&gt;65,Sheet1[[#This Row],[Attendance ]]&lt;75),"Yes","No")</f>
        <v>No</v>
      </c>
      <c r="J112" t="str">
        <f>IF(Sheet1[[#This Row],[Attendance ]]&lt;65,"Yes","No")</f>
        <v>No</v>
      </c>
    </row>
    <row r="113" spans="1:12" x14ac:dyDescent="0.35">
      <c r="A113" t="s">
        <v>153</v>
      </c>
      <c r="B113" t="s">
        <v>72</v>
      </c>
      <c r="C113" t="s">
        <v>20</v>
      </c>
      <c r="D113">
        <v>69.05</v>
      </c>
      <c r="E113" t="s">
        <v>5</v>
      </c>
      <c r="F113">
        <v>8.4499999999999993</v>
      </c>
      <c r="G113" t="s">
        <v>26</v>
      </c>
      <c r="H113" t="str">
        <f t="shared" si="7"/>
        <v>Passed</v>
      </c>
      <c r="I113" t="str">
        <f>IF(AND(Sheet1[[#This Row],[Attendance ]]&gt;65,Sheet1[[#This Row],[Attendance ]]&lt;75),"Yes","No")</f>
        <v>Yes</v>
      </c>
      <c r="J113" t="str">
        <f>IF(Sheet1[[#This Row],[Attendance ]]&lt;65,"Yes","No")</f>
        <v>No</v>
      </c>
      <c r="K113" t="str">
        <f t="shared" ref="K113:K115" si="16">CHOOSE(MOD(ROW()-2,8)+1,
"Kadapa",
"Ananthapur",
"Rayachoti",
"Nellore",
"Chittoor",
"Madanapalli",
"Rajampeta",
"Tirupati")</f>
        <v>Tirupati</v>
      </c>
      <c r="L113" t="str">
        <f t="shared" ref="L113:L115" si="17">IF(AND(G111="4th Year",E111="Pass",F111&gt;=7),"Yes","No")</f>
        <v>No</v>
      </c>
    </row>
    <row r="114" spans="1:12" x14ac:dyDescent="0.35">
      <c r="A114" t="s">
        <v>154</v>
      </c>
      <c r="B114" t="s">
        <v>149</v>
      </c>
      <c r="C114" t="s">
        <v>13</v>
      </c>
      <c r="D114">
        <v>65.39</v>
      </c>
      <c r="E114" t="s">
        <v>5</v>
      </c>
      <c r="F114">
        <v>8.66</v>
      </c>
      <c r="G114" t="s">
        <v>28</v>
      </c>
      <c r="H114" t="str">
        <f t="shared" si="7"/>
        <v>Passed</v>
      </c>
      <c r="I114" t="str">
        <f>IF(AND(Sheet1[[#This Row],[Attendance ]]&gt;65,Sheet1[[#This Row],[Attendance ]]&lt;75),"Yes","No")</f>
        <v>Yes</v>
      </c>
      <c r="J114" t="str">
        <f>IF(Sheet1[[#This Row],[Attendance ]]&lt;65,"Yes","No")</f>
        <v>No</v>
      </c>
      <c r="K114" t="str">
        <f t="shared" si="16"/>
        <v>Kadapa</v>
      </c>
      <c r="L114" t="str">
        <f t="shared" si="17"/>
        <v>No</v>
      </c>
    </row>
    <row r="115" spans="1:12" x14ac:dyDescent="0.35">
      <c r="A115" t="s">
        <v>155</v>
      </c>
      <c r="B115" t="s">
        <v>45</v>
      </c>
      <c r="C115" t="s">
        <v>35</v>
      </c>
      <c r="D115">
        <v>70.44</v>
      </c>
      <c r="E115" t="s">
        <v>5</v>
      </c>
      <c r="F115">
        <v>6.53</v>
      </c>
      <c r="G115" t="s">
        <v>26</v>
      </c>
      <c r="H115" t="str">
        <f t="shared" si="7"/>
        <v>Passed</v>
      </c>
      <c r="I115" t="str">
        <f>IF(AND(Sheet1[[#This Row],[Attendance ]]&gt;65,Sheet1[[#This Row],[Attendance ]]&lt;75),"Yes","No")</f>
        <v>Yes</v>
      </c>
      <c r="J115" t="str">
        <f>IF(Sheet1[[#This Row],[Attendance ]]&lt;65,"Yes","No")</f>
        <v>No</v>
      </c>
      <c r="K115" t="str">
        <f t="shared" si="16"/>
        <v>Ananthapur</v>
      </c>
      <c r="L115" t="str">
        <f t="shared" si="17"/>
        <v>Yes</v>
      </c>
    </row>
    <row r="116" spans="1:12" hidden="1" x14ac:dyDescent="0.35">
      <c r="A116" t="s">
        <v>156</v>
      </c>
      <c r="B116" t="s">
        <v>51</v>
      </c>
      <c r="C116" t="s">
        <v>23</v>
      </c>
      <c r="D116">
        <v>77.47</v>
      </c>
      <c r="E116" t="s">
        <v>5</v>
      </c>
      <c r="F116">
        <v>7.27</v>
      </c>
      <c r="G116" t="s">
        <v>26</v>
      </c>
      <c r="H116" t="str">
        <f t="shared" si="7"/>
        <v>Passed</v>
      </c>
      <c r="I116" t="str">
        <f>IF(AND(Sheet1[[#This Row],[Attendance ]]&gt;65,Sheet1[[#This Row],[Attendance ]]&lt;75),"Yes","No")</f>
        <v>No</v>
      </c>
      <c r="J116" t="str">
        <f>IF(Sheet1[[#This Row],[Attendance ]]&lt;65,"Yes","No")</f>
        <v>No</v>
      </c>
    </row>
    <row r="117" spans="1:12" hidden="1" x14ac:dyDescent="0.35">
      <c r="A117" t="s">
        <v>157</v>
      </c>
      <c r="B117" t="s">
        <v>58</v>
      </c>
      <c r="C117" t="s">
        <v>20</v>
      </c>
      <c r="D117">
        <v>97.86</v>
      </c>
      <c r="E117" t="s">
        <v>10</v>
      </c>
      <c r="F117">
        <v>7.68</v>
      </c>
      <c r="G117" t="s">
        <v>11</v>
      </c>
      <c r="H117" t="str">
        <f t="shared" si="7"/>
        <v>M1</v>
      </c>
      <c r="I117" t="str">
        <f>IF(AND(Sheet1[[#This Row],[Attendance ]]&gt;65,Sheet1[[#This Row],[Attendance ]]&lt;75),"Yes","No")</f>
        <v>No</v>
      </c>
      <c r="J117" t="str">
        <f>IF(Sheet1[[#This Row],[Attendance ]]&lt;65,"Yes","No")</f>
        <v>No</v>
      </c>
    </row>
    <row r="118" spans="1:12" hidden="1" x14ac:dyDescent="0.35">
      <c r="A118" t="s">
        <v>158</v>
      </c>
      <c r="B118" t="s">
        <v>37</v>
      </c>
      <c r="C118" t="s">
        <v>4</v>
      </c>
      <c r="D118">
        <v>89.52</v>
      </c>
      <c r="E118" t="s">
        <v>5</v>
      </c>
      <c r="F118">
        <v>7.22</v>
      </c>
      <c r="G118" t="s">
        <v>6</v>
      </c>
      <c r="H118" t="str">
        <f t="shared" si="7"/>
        <v>Passed</v>
      </c>
      <c r="I118" t="str">
        <f>IF(AND(Sheet1[[#This Row],[Attendance ]]&gt;65,Sheet1[[#This Row],[Attendance ]]&lt;75),"Yes","No")</f>
        <v>No</v>
      </c>
      <c r="J118" t="str">
        <f>IF(Sheet1[[#This Row],[Attendance ]]&lt;65,"Yes","No")</f>
        <v>No</v>
      </c>
    </row>
    <row r="119" spans="1:12" hidden="1" x14ac:dyDescent="0.35">
      <c r="A119" t="s">
        <v>159</v>
      </c>
      <c r="B119" t="s">
        <v>17</v>
      </c>
      <c r="C119" t="s">
        <v>9</v>
      </c>
      <c r="D119">
        <v>98.22</v>
      </c>
      <c r="E119" t="s">
        <v>5</v>
      </c>
      <c r="F119">
        <v>6.92</v>
      </c>
      <c r="G119" t="s">
        <v>11</v>
      </c>
      <c r="H119" t="str">
        <f t="shared" si="7"/>
        <v>Passed</v>
      </c>
      <c r="I119" t="str">
        <f>IF(AND(Sheet1[[#This Row],[Attendance ]]&gt;65,Sheet1[[#This Row],[Attendance ]]&lt;75),"Yes","No")</f>
        <v>No</v>
      </c>
      <c r="J119" t="str">
        <f>IF(Sheet1[[#This Row],[Attendance ]]&lt;65,"Yes","No")</f>
        <v>No</v>
      </c>
    </row>
    <row r="120" spans="1:12" x14ac:dyDescent="0.35">
      <c r="A120" t="s">
        <v>160</v>
      </c>
      <c r="B120" t="s">
        <v>103</v>
      </c>
      <c r="C120" t="s">
        <v>23</v>
      </c>
      <c r="D120">
        <v>71.650000000000006</v>
      </c>
      <c r="E120" t="s">
        <v>5</v>
      </c>
      <c r="F120">
        <v>9</v>
      </c>
      <c r="G120" t="s">
        <v>6</v>
      </c>
      <c r="H120" t="str">
        <f t="shared" si="7"/>
        <v>Passed</v>
      </c>
      <c r="I120" t="str">
        <f>IF(AND(Sheet1[[#This Row],[Attendance ]]&gt;65,Sheet1[[#This Row],[Attendance ]]&lt;75),"Yes","No")</f>
        <v>Yes</v>
      </c>
      <c r="J120" t="str">
        <f>IF(Sheet1[[#This Row],[Attendance ]]&lt;65,"Yes","No")</f>
        <v>No</v>
      </c>
      <c r="K120" t="str">
        <f>CHOOSE(MOD(ROW()-2,8)+1,
"Kadapa",
"Ananthapur",
"Rayachoti",
"Nellore",
"Chittoor",
"Madanapalli",
"Rajampeta",
"Tirupati")</f>
        <v>Rajampeta</v>
      </c>
      <c r="L120" t="str">
        <f>IF(AND(G118="4th Year",E118="Pass",F118&gt;=7),"Yes","No")</f>
        <v>No</v>
      </c>
    </row>
    <row r="121" spans="1:12" hidden="1" x14ac:dyDescent="0.35">
      <c r="A121" t="s">
        <v>161</v>
      </c>
      <c r="B121" t="s">
        <v>98</v>
      </c>
      <c r="C121" t="s">
        <v>35</v>
      </c>
      <c r="D121">
        <v>85.4</v>
      </c>
      <c r="E121" t="s">
        <v>5</v>
      </c>
      <c r="F121">
        <v>6.14</v>
      </c>
      <c r="G121" t="s">
        <v>26</v>
      </c>
      <c r="H121" t="str">
        <f t="shared" si="7"/>
        <v>Passed</v>
      </c>
      <c r="I121" t="str">
        <f>IF(AND(Sheet1[[#This Row],[Attendance ]]&gt;65,Sheet1[[#This Row],[Attendance ]]&lt;75),"Yes","No")</f>
        <v>No</v>
      </c>
      <c r="J121" t="str">
        <f>IF(Sheet1[[#This Row],[Attendance ]]&lt;65,"Yes","No")</f>
        <v>No</v>
      </c>
    </row>
    <row r="122" spans="1:12" x14ac:dyDescent="0.35">
      <c r="A122" t="s">
        <v>162</v>
      </c>
      <c r="B122" t="s">
        <v>17</v>
      </c>
      <c r="C122" t="s">
        <v>23</v>
      </c>
      <c r="D122">
        <v>72.37</v>
      </c>
      <c r="E122" t="s">
        <v>5</v>
      </c>
      <c r="F122">
        <v>7.14</v>
      </c>
      <c r="G122" t="s">
        <v>6</v>
      </c>
      <c r="H122" t="str">
        <f t="shared" si="7"/>
        <v>Passed</v>
      </c>
      <c r="I122" t="str">
        <f>IF(AND(Sheet1[[#This Row],[Attendance ]]&gt;65,Sheet1[[#This Row],[Attendance ]]&lt;75),"Yes","No")</f>
        <v>Yes</v>
      </c>
      <c r="J122" t="str">
        <f>IF(Sheet1[[#This Row],[Attendance ]]&lt;65,"Yes","No")</f>
        <v>No</v>
      </c>
      <c r="K122" t="str">
        <f>CHOOSE(MOD(ROW()-2,8)+1,
"Kadapa",
"Ananthapur",
"Rayachoti",
"Nellore",
"Chittoor",
"Madanapalli",
"Rajampeta",
"Tirupati")</f>
        <v>Kadapa</v>
      </c>
      <c r="L122" t="str">
        <f>IF(AND(G120="4th Year",E120="Pass",F120&gt;=7),"Yes","No")</f>
        <v>No</v>
      </c>
    </row>
    <row r="123" spans="1:12" hidden="1" x14ac:dyDescent="0.35">
      <c r="A123" t="s">
        <v>163</v>
      </c>
      <c r="B123" t="s">
        <v>164</v>
      </c>
      <c r="C123" t="s">
        <v>9</v>
      </c>
      <c r="D123">
        <v>92.99</v>
      </c>
      <c r="E123" t="s">
        <v>5</v>
      </c>
      <c r="F123">
        <v>6.07</v>
      </c>
      <c r="G123" t="s">
        <v>11</v>
      </c>
      <c r="H123" t="str">
        <f t="shared" si="7"/>
        <v>Passed</v>
      </c>
      <c r="I123" t="str">
        <f>IF(AND(Sheet1[[#This Row],[Attendance ]]&gt;65,Sheet1[[#This Row],[Attendance ]]&lt;75),"Yes","No")</f>
        <v>No</v>
      </c>
      <c r="J123" t="str">
        <f>IF(Sheet1[[#This Row],[Attendance ]]&lt;65,"Yes","No")</f>
        <v>No</v>
      </c>
    </row>
    <row r="124" spans="1:12" hidden="1" x14ac:dyDescent="0.35">
      <c r="A124" t="s">
        <v>165</v>
      </c>
      <c r="B124" t="s">
        <v>51</v>
      </c>
      <c r="C124" t="s">
        <v>20</v>
      </c>
      <c r="D124">
        <v>90.24</v>
      </c>
      <c r="E124" t="s">
        <v>5</v>
      </c>
      <c r="F124">
        <v>9.6300000000000008</v>
      </c>
      <c r="G124" t="s">
        <v>6</v>
      </c>
      <c r="H124" t="str">
        <f t="shared" si="7"/>
        <v>Passed</v>
      </c>
      <c r="I124" t="str">
        <f>IF(AND(Sheet1[[#This Row],[Attendance ]]&gt;65,Sheet1[[#This Row],[Attendance ]]&lt;75),"Yes","No")</f>
        <v>No</v>
      </c>
      <c r="J124" t="str">
        <f>IF(Sheet1[[#This Row],[Attendance ]]&lt;65,"Yes","No")</f>
        <v>No</v>
      </c>
    </row>
    <row r="125" spans="1:12" hidden="1" x14ac:dyDescent="0.35">
      <c r="A125" t="s">
        <v>166</v>
      </c>
      <c r="B125" t="s">
        <v>12</v>
      </c>
      <c r="C125" t="s">
        <v>20</v>
      </c>
      <c r="D125">
        <v>79.819999999999993</v>
      </c>
      <c r="E125" t="s">
        <v>5</v>
      </c>
      <c r="F125">
        <v>6.5</v>
      </c>
      <c r="G125" t="s">
        <v>11</v>
      </c>
      <c r="H125" t="str">
        <f t="shared" si="7"/>
        <v>Passed</v>
      </c>
      <c r="I125" t="str">
        <f>IF(AND(Sheet1[[#This Row],[Attendance ]]&gt;65,Sheet1[[#This Row],[Attendance ]]&lt;75),"Yes","No")</f>
        <v>No</v>
      </c>
      <c r="J125" t="str">
        <f>IF(Sheet1[[#This Row],[Attendance ]]&lt;65,"Yes","No")</f>
        <v>No</v>
      </c>
    </row>
    <row r="126" spans="1:12" hidden="1" x14ac:dyDescent="0.35">
      <c r="A126" t="s">
        <v>167</v>
      </c>
      <c r="B126" t="s">
        <v>70</v>
      </c>
      <c r="C126" t="s">
        <v>9</v>
      </c>
      <c r="D126">
        <v>82.69</v>
      </c>
      <c r="E126" t="s">
        <v>5</v>
      </c>
      <c r="F126">
        <v>8.0399999999999991</v>
      </c>
      <c r="G126" t="s">
        <v>28</v>
      </c>
      <c r="H126" t="str">
        <f t="shared" si="7"/>
        <v>Passed</v>
      </c>
      <c r="I126" t="str">
        <f>IF(AND(Sheet1[[#This Row],[Attendance ]]&gt;65,Sheet1[[#This Row],[Attendance ]]&lt;75),"Yes","No")</f>
        <v>No</v>
      </c>
      <c r="J126" t="str">
        <f>IF(Sheet1[[#This Row],[Attendance ]]&lt;65,"Yes","No")</f>
        <v>No</v>
      </c>
    </row>
    <row r="127" spans="1:12" hidden="1" x14ac:dyDescent="0.35">
      <c r="A127" t="s">
        <v>168</v>
      </c>
      <c r="B127" t="s">
        <v>15</v>
      </c>
      <c r="C127" t="s">
        <v>9</v>
      </c>
      <c r="D127">
        <v>83.2</v>
      </c>
      <c r="E127" t="s">
        <v>5</v>
      </c>
      <c r="F127">
        <v>9.5399999999999991</v>
      </c>
      <c r="G127" t="s">
        <v>11</v>
      </c>
      <c r="H127" t="str">
        <f t="shared" si="7"/>
        <v>Passed</v>
      </c>
      <c r="I127" t="str">
        <f>IF(AND(Sheet1[[#This Row],[Attendance ]]&gt;65,Sheet1[[#This Row],[Attendance ]]&lt;75),"Yes","No")</f>
        <v>No</v>
      </c>
      <c r="J127" t="str">
        <f>IF(Sheet1[[#This Row],[Attendance ]]&lt;65,"Yes","No")</f>
        <v>No</v>
      </c>
    </row>
    <row r="128" spans="1:12" hidden="1" x14ac:dyDescent="0.35">
      <c r="A128" t="s">
        <v>169</v>
      </c>
      <c r="B128" t="s">
        <v>22</v>
      </c>
      <c r="C128" t="s">
        <v>9</v>
      </c>
      <c r="D128">
        <v>95.24</v>
      </c>
      <c r="E128" t="s">
        <v>10</v>
      </c>
      <c r="F128">
        <v>6.38</v>
      </c>
      <c r="G128" t="s">
        <v>6</v>
      </c>
      <c r="H128" t="str">
        <f t="shared" si="7"/>
        <v>DBMS</v>
      </c>
      <c r="I128" t="str">
        <f>IF(AND(Sheet1[[#This Row],[Attendance ]]&gt;65,Sheet1[[#This Row],[Attendance ]]&lt;75),"Yes","No")</f>
        <v>No</v>
      </c>
      <c r="J128" t="str">
        <f>IF(Sheet1[[#This Row],[Attendance ]]&lt;65,"Yes","No")</f>
        <v>No</v>
      </c>
    </row>
    <row r="129" spans="1:16" hidden="1" x14ac:dyDescent="0.35">
      <c r="A129" t="s">
        <v>170</v>
      </c>
      <c r="B129" t="s">
        <v>107</v>
      </c>
      <c r="C129" t="s">
        <v>13</v>
      </c>
      <c r="D129">
        <v>63.84</v>
      </c>
      <c r="E129" t="s">
        <v>5</v>
      </c>
      <c r="F129">
        <v>5.67</v>
      </c>
      <c r="G129" t="s">
        <v>26</v>
      </c>
      <c r="H129" t="str">
        <f t="shared" si="7"/>
        <v>Passed</v>
      </c>
      <c r="I129" t="str">
        <f>IF(AND(Sheet1[[#This Row],[Attendance ]]&gt;65,Sheet1[[#This Row],[Attendance ]]&lt;75),"Yes","No")</f>
        <v>No</v>
      </c>
      <c r="J129" t="str">
        <f>IF(Sheet1[[#This Row],[Attendance ]]&lt;65,"Yes","No")</f>
        <v>Yes</v>
      </c>
    </row>
    <row r="130" spans="1:16" hidden="1" x14ac:dyDescent="0.35">
      <c r="A130" t="s">
        <v>171</v>
      </c>
      <c r="B130" t="s">
        <v>22</v>
      </c>
      <c r="C130" t="s">
        <v>20</v>
      </c>
      <c r="D130">
        <v>93.64</v>
      </c>
      <c r="E130" t="s">
        <v>5</v>
      </c>
      <c r="F130">
        <v>7.87</v>
      </c>
      <c r="G130" t="s">
        <v>11</v>
      </c>
      <c r="H130" t="str">
        <f t="shared" ref="H130:H193" si="18">IF(E130="Pass","Passed",
IF(G130="1st Year","M1",
IF(G130="2nd Year","DBMS",
IF(G130="3rd Year","Machine Learning",
IF(G130="4th Year","Deep Learning","")))))</f>
        <v>Passed</v>
      </c>
      <c r="I130" t="str">
        <f>IF(AND(Sheet1[[#This Row],[Attendance ]]&gt;65,Sheet1[[#This Row],[Attendance ]]&lt;75),"Yes","No")</f>
        <v>No</v>
      </c>
      <c r="J130" t="str">
        <f>IF(Sheet1[[#This Row],[Attendance ]]&lt;65,"Yes","No")</f>
        <v>No</v>
      </c>
    </row>
    <row r="131" spans="1:16" hidden="1" x14ac:dyDescent="0.35">
      <c r="A131" t="s">
        <v>172</v>
      </c>
      <c r="B131" t="s">
        <v>63</v>
      </c>
      <c r="C131" t="s">
        <v>35</v>
      </c>
      <c r="D131">
        <v>91.08</v>
      </c>
      <c r="E131" t="s">
        <v>5</v>
      </c>
      <c r="F131">
        <v>6.56</v>
      </c>
      <c r="G131" t="s">
        <v>28</v>
      </c>
      <c r="H131" t="str">
        <f t="shared" si="18"/>
        <v>Passed</v>
      </c>
      <c r="I131" t="str">
        <f>IF(AND(Sheet1[[#This Row],[Attendance ]]&gt;65,Sheet1[[#This Row],[Attendance ]]&lt;75),"Yes","No")</f>
        <v>No</v>
      </c>
      <c r="J131" t="str">
        <f>IF(Sheet1[[#This Row],[Attendance ]]&lt;65,"Yes","No")</f>
        <v>No</v>
      </c>
    </row>
    <row r="132" spans="1:16" x14ac:dyDescent="0.35">
      <c r="A132" t="s">
        <v>173</v>
      </c>
      <c r="B132" t="s">
        <v>45</v>
      </c>
      <c r="C132" t="s">
        <v>13</v>
      </c>
      <c r="D132">
        <v>65.55</v>
      </c>
      <c r="E132" t="s">
        <v>5</v>
      </c>
      <c r="F132">
        <v>9.56</v>
      </c>
      <c r="G132" t="s">
        <v>28</v>
      </c>
      <c r="H132" t="str">
        <f t="shared" si="18"/>
        <v>Passed</v>
      </c>
      <c r="I132" t="str">
        <f>IF(AND(Sheet1[[#This Row],[Attendance ]]&gt;65,Sheet1[[#This Row],[Attendance ]]&lt;75),"Yes","No")</f>
        <v>Yes</v>
      </c>
      <c r="J132" t="str">
        <f>IF(Sheet1[[#This Row],[Attendance ]]&lt;65,"Yes","No")</f>
        <v>No</v>
      </c>
      <c r="K132" t="str">
        <f t="shared" ref="K132:K133" si="19">CHOOSE(MOD(ROW()-2,8)+1,
"Kadapa",
"Ananthapur",
"Rayachoti",
"Nellore",
"Chittoor",
"Madanapalli",
"Rajampeta",
"Tirupati")</f>
        <v>Rayachoti</v>
      </c>
      <c r="L132" t="str">
        <f t="shared" ref="L132:L133" si="20">IF(AND(G130="4th Year",E130="Pass",F130&gt;=7),"Yes","No")</f>
        <v>No</v>
      </c>
    </row>
    <row r="133" spans="1:16" x14ac:dyDescent="0.35">
      <c r="A133" t="s">
        <v>174</v>
      </c>
      <c r="B133" t="s">
        <v>103</v>
      </c>
      <c r="C133" t="s">
        <v>23</v>
      </c>
      <c r="D133">
        <v>72.45</v>
      </c>
      <c r="E133" t="s">
        <v>5</v>
      </c>
      <c r="F133">
        <v>8.4499999999999993</v>
      </c>
      <c r="G133" t="s">
        <v>26</v>
      </c>
      <c r="H133" t="str">
        <f t="shared" si="18"/>
        <v>Passed</v>
      </c>
      <c r="I133" t="str">
        <f>IF(AND(Sheet1[[#This Row],[Attendance ]]&gt;65,Sheet1[[#This Row],[Attendance ]]&lt;75),"Yes","No")</f>
        <v>Yes</v>
      </c>
      <c r="J133" t="str">
        <f>IF(Sheet1[[#This Row],[Attendance ]]&lt;65,"Yes","No")</f>
        <v>No</v>
      </c>
      <c r="K133" t="str">
        <f t="shared" si="19"/>
        <v>Nellore</v>
      </c>
      <c r="L133" t="str">
        <f t="shared" si="20"/>
        <v>No</v>
      </c>
    </row>
    <row r="134" spans="1:16" hidden="1" x14ac:dyDescent="0.35">
      <c r="A134" t="s">
        <v>175</v>
      </c>
      <c r="B134" t="s">
        <v>103</v>
      </c>
      <c r="C134" t="s">
        <v>9</v>
      </c>
      <c r="D134">
        <v>96.1</v>
      </c>
      <c r="E134" t="s">
        <v>5</v>
      </c>
      <c r="F134">
        <v>5.79</v>
      </c>
      <c r="G134" t="s">
        <v>6</v>
      </c>
      <c r="H134" t="str">
        <f t="shared" si="18"/>
        <v>Passed</v>
      </c>
      <c r="I134" t="str">
        <f>IF(AND(Sheet1[[#This Row],[Attendance ]]&gt;65,Sheet1[[#This Row],[Attendance ]]&lt;75),"Yes","No")</f>
        <v>No</v>
      </c>
      <c r="J134" t="str">
        <f>IF(Sheet1[[#This Row],[Attendance ]]&lt;65,"Yes","No")</f>
        <v>No</v>
      </c>
    </row>
    <row r="135" spans="1:16" hidden="1" x14ac:dyDescent="0.35">
      <c r="A135" t="s">
        <v>176</v>
      </c>
      <c r="B135" t="s">
        <v>164</v>
      </c>
      <c r="C135" t="s">
        <v>9</v>
      </c>
      <c r="D135">
        <v>88.21</v>
      </c>
      <c r="E135" t="s">
        <v>5</v>
      </c>
      <c r="F135">
        <v>6.54</v>
      </c>
      <c r="G135" t="s">
        <v>11</v>
      </c>
      <c r="H135" t="str">
        <f t="shared" si="18"/>
        <v>Passed</v>
      </c>
      <c r="I135" t="str">
        <f>IF(AND(Sheet1[[#This Row],[Attendance ]]&gt;65,Sheet1[[#This Row],[Attendance ]]&lt;75),"Yes","No")</f>
        <v>No</v>
      </c>
      <c r="J135" t="str">
        <f>IF(Sheet1[[#This Row],[Attendance ]]&lt;65,"Yes","No")</f>
        <v>No</v>
      </c>
    </row>
    <row r="136" spans="1:16" hidden="1" x14ac:dyDescent="0.35">
      <c r="A136" t="s">
        <v>177</v>
      </c>
      <c r="B136" t="s">
        <v>63</v>
      </c>
      <c r="C136" t="s">
        <v>13</v>
      </c>
      <c r="D136">
        <v>81.39</v>
      </c>
      <c r="E136" t="s">
        <v>5</v>
      </c>
      <c r="F136">
        <v>6.66</v>
      </c>
      <c r="G136" t="s">
        <v>26</v>
      </c>
      <c r="H136" t="str">
        <f t="shared" si="18"/>
        <v>Passed</v>
      </c>
      <c r="I136" t="str">
        <f>IF(AND(Sheet1[[#This Row],[Attendance ]]&gt;65,Sheet1[[#This Row],[Attendance ]]&lt;75),"Yes","No")</f>
        <v>No</v>
      </c>
      <c r="J136" t="str">
        <f>IF(Sheet1[[#This Row],[Attendance ]]&lt;65,"Yes","No")</f>
        <v>No</v>
      </c>
    </row>
    <row r="137" spans="1:16" x14ac:dyDescent="0.35">
      <c r="A137" t="s">
        <v>178</v>
      </c>
      <c r="B137" t="s">
        <v>58</v>
      </c>
      <c r="C137" t="s">
        <v>13</v>
      </c>
      <c r="D137">
        <v>71.39</v>
      </c>
      <c r="E137" t="s">
        <v>5</v>
      </c>
      <c r="F137">
        <v>8.6199999999999992</v>
      </c>
      <c r="G137" t="s">
        <v>6</v>
      </c>
      <c r="H137" t="str">
        <f t="shared" si="18"/>
        <v>Passed</v>
      </c>
      <c r="I137" t="str">
        <f>IF(AND(Sheet1[[#This Row],[Attendance ]]&gt;65,Sheet1[[#This Row],[Attendance ]]&lt;75),"Yes","No")</f>
        <v>Yes</v>
      </c>
      <c r="J137" t="str">
        <f>IF(Sheet1[[#This Row],[Attendance ]]&lt;65,"Yes","No")</f>
        <v>No</v>
      </c>
      <c r="K137" t="str">
        <f t="shared" ref="K137:K138" si="21">CHOOSE(MOD(ROW()-2,8)+1,
"Kadapa",
"Ananthapur",
"Rayachoti",
"Nellore",
"Chittoor",
"Madanapalli",
"Rajampeta",
"Tirupati")</f>
        <v>Tirupati</v>
      </c>
      <c r="L137" t="str">
        <f t="shared" ref="L137:L138" si="22">IF(AND(G135="4th Year",E135="Pass",F135&gt;=7),"Yes","No")</f>
        <v>No</v>
      </c>
    </row>
    <row r="138" spans="1:16" x14ac:dyDescent="0.35">
      <c r="A138" t="s">
        <v>179</v>
      </c>
      <c r="B138" t="s">
        <v>34</v>
      </c>
      <c r="C138" t="s">
        <v>13</v>
      </c>
      <c r="D138">
        <v>69.2</v>
      </c>
      <c r="E138" t="s">
        <v>10</v>
      </c>
      <c r="F138">
        <v>8.48</v>
      </c>
      <c r="G138" t="s">
        <v>28</v>
      </c>
      <c r="H138" t="str">
        <f t="shared" si="18"/>
        <v>Machine Learning</v>
      </c>
      <c r="I138" t="str">
        <f>IF(AND(Sheet1[[#This Row],[Attendance ]]&gt;65,Sheet1[[#This Row],[Attendance ]]&lt;75),"Yes","No")</f>
        <v>Yes</v>
      </c>
      <c r="J138" t="str">
        <f>IF(Sheet1[[#This Row],[Attendance ]]&lt;65,"Yes","No")</f>
        <v>No</v>
      </c>
      <c r="K138" t="str">
        <f t="shared" si="21"/>
        <v>Kadapa</v>
      </c>
      <c r="L138" t="str">
        <f t="shared" si="22"/>
        <v>No</v>
      </c>
    </row>
    <row r="139" spans="1:16" hidden="1" x14ac:dyDescent="0.35">
      <c r="A139" t="s">
        <v>180</v>
      </c>
      <c r="B139" t="s">
        <v>8</v>
      </c>
      <c r="C139" t="s">
        <v>20</v>
      </c>
      <c r="D139">
        <v>62.33</v>
      </c>
      <c r="E139" t="s">
        <v>5</v>
      </c>
      <c r="F139">
        <v>5.19</v>
      </c>
      <c r="G139" t="s">
        <v>11</v>
      </c>
      <c r="H139" t="str">
        <f t="shared" si="18"/>
        <v>Passed</v>
      </c>
      <c r="I139" t="str">
        <f>IF(AND(Sheet1[[#This Row],[Attendance ]]&gt;65,Sheet1[[#This Row],[Attendance ]]&lt;75),"Yes","No")</f>
        <v>No</v>
      </c>
      <c r="J139" t="str">
        <f>IF(Sheet1[[#This Row],[Attendance ]]&lt;65,"Yes","No")</f>
        <v>Yes</v>
      </c>
    </row>
    <row r="140" spans="1:16" hidden="1" x14ac:dyDescent="0.35">
      <c r="A140" t="s">
        <v>181</v>
      </c>
      <c r="B140" t="s">
        <v>63</v>
      </c>
      <c r="C140" t="s">
        <v>13</v>
      </c>
      <c r="D140">
        <v>79.52</v>
      </c>
      <c r="E140" t="s">
        <v>10</v>
      </c>
      <c r="F140">
        <v>6.99</v>
      </c>
      <c r="G140" t="s">
        <v>11</v>
      </c>
      <c r="H140" t="str">
        <f t="shared" si="18"/>
        <v>M1</v>
      </c>
      <c r="I140" t="str">
        <f>IF(AND(Sheet1[[#This Row],[Attendance ]]&gt;65,Sheet1[[#This Row],[Attendance ]]&lt;75),"Yes","No")</f>
        <v>No</v>
      </c>
      <c r="J140" t="str">
        <f>IF(Sheet1[[#This Row],[Attendance ]]&lt;65,"Yes","No")</f>
        <v>No</v>
      </c>
    </row>
    <row r="141" spans="1:16" x14ac:dyDescent="0.35">
      <c r="A141" t="s">
        <v>182</v>
      </c>
      <c r="B141" t="s">
        <v>98</v>
      </c>
      <c r="C141" t="s">
        <v>4</v>
      </c>
      <c r="D141">
        <v>65.2</v>
      </c>
      <c r="E141" t="s">
        <v>5</v>
      </c>
      <c r="F141">
        <v>7.67</v>
      </c>
      <c r="G141" t="s">
        <v>6</v>
      </c>
      <c r="H141" t="str">
        <f t="shared" si="18"/>
        <v>Passed</v>
      </c>
      <c r="I141" t="str">
        <f>IF(AND(Sheet1[[#This Row],[Attendance ]]&gt;65,Sheet1[[#This Row],[Attendance ]]&lt;75),"Yes","No")</f>
        <v>Yes</v>
      </c>
      <c r="J141" t="str">
        <f>IF(Sheet1[[#This Row],[Attendance ]]&lt;65,"Yes","No")</f>
        <v>No</v>
      </c>
      <c r="K141" t="str">
        <f>CHOOSE(MOD(ROW()-2,8)+1,
"Kadapa",
"Ananthapur",
"Rayachoti",
"Nellore",
"Chittoor",
"Madanapalli",
"Rajampeta",
"Tirupati")</f>
        <v>Nellore</v>
      </c>
      <c r="L141" t="str">
        <f>IF(AND(G139="4th Year",E139="Pass",F139&gt;=7),"Yes","No")</f>
        <v>No</v>
      </c>
      <c r="P141" t="e" cm="1">
        <f t="array" ref="P141">IF(condition,"Yes","No")</f>
        <v>#NAME?</v>
      </c>
    </row>
    <row r="142" spans="1:16" hidden="1" x14ac:dyDescent="0.35">
      <c r="A142" t="s">
        <v>183</v>
      </c>
      <c r="B142" t="s">
        <v>8</v>
      </c>
      <c r="C142" t="s">
        <v>23</v>
      </c>
      <c r="D142">
        <v>80.97</v>
      </c>
      <c r="E142" t="s">
        <v>10</v>
      </c>
      <c r="F142">
        <v>5.69</v>
      </c>
      <c r="G142" t="s">
        <v>11</v>
      </c>
      <c r="H142" t="str">
        <f t="shared" si="18"/>
        <v>M1</v>
      </c>
      <c r="I142" t="str">
        <f>IF(AND(Sheet1[[#This Row],[Attendance ]]&gt;65,Sheet1[[#This Row],[Attendance ]]&lt;75),"Yes","No")</f>
        <v>No</v>
      </c>
      <c r="J142" t="str">
        <f>IF(Sheet1[[#This Row],[Attendance ]]&lt;65,"Yes","No")</f>
        <v>No</v>
      </c>
    </row>
    <row r="143" spans="1:16" x14ac:dyDescent="0.35">
      <c r="A143" t="s">
        <v>184</v>
      </c>
      <c r="B143" t="s">
        <v>34</v>
      </c>
      <c r="C143" t="s">
        <v>4</v>
      </c>
      <c r="D143">
        <v>66.709999999999994</v>
      </c>
      <c r="E143" t="s">
        <v>5</v>
      </c>
      <c r="F143">
        <v>6.66</v>
      </c>
      <c r="G143" t="s">
        <v>28</v>
      </c>
      <c r="H143" t="str">
        <f t="shared" si="18"/>
        <v>Passed</v>
      </c>
      <c r="I143" t="str">
        <f>IF(AND(Sheet1[[#This Row],[Attendance ]]&gt;65,Sheet1[[#This Row],[Attendance ]]&lt;75),"Yes","No")</f>
        <v>Yes</v>
      </c>
      <c r="J143" t="str">
        <f>IF(Sheet1[[#This Row],[Attendance ]]&lt;65,"Yes","No")</f>
        <v>No</v>
      </c>
      <c r="K143" t="str">
        <f>CHOOSE(MOD(ROW()-2,8)+1,
"Kadapa",
"Ananthapur",
"Rayachoti",
"Nellore",
"Chittoor",
"Madanapalli",
"Rajampeta",
"Tirupati")</f>
        <v>Madanapalli</v>
      </c>
      <c r="L143" t="str">
        <f>IF(AND(G141="4th Year",E141="Pass",F141&gt;=7),"Yes","No")</f>
        <v>No</v>
      </c>
    </row>
    <row r="144" spans="1:16" hidden="1" x14ac:dyDescent="0.35">
      <c r="A144" t="s">
        <v>185</v>
      </c>
      <c r="B144" t="s">
        <v>77</v>
      </c>
      <c r="C144" t="s">
        <v>23</v>
      </c>
      <c r="D144">
        <v>96.11</v>
      </c>
      <c r="E144" t="s">
        <v>5</v>
      </c>
      <c r="F144">
        <v>5.1100000000000003</v>
      </c>
      <c r="G144" t="s">
        <v>26</v>
      </c>
      <c r="H144" t="str">
        <f t="shared" si="18"/>
        <v>Passed</v>
      </c>
      <c r="I144" t="str">
        <f>IF(AND(Sheet1[[#This Row],[Attendance ]]&gt;65,Sheet1[[#This Row],[Attendance ]]&lt;75),"Yes","No")</f>
        <v>No</v>
      </c>
      <c r="J144" t="str">
        <f>IF(Sheet1[[#This Row],[Attendance ]]&lt;65,"Yes","No")</f>
        <v>No</v>
      </c>
    </row>
    <row r="145" spans="1:16" x14ac:dyDescent="0.35">
      <c r="A145" t="s">
        <v>186</v>
      </c>
      <c r="B145" t="s">
        <v>15</v>
      </c>
      <c r="C145" t="s">
        <v>35</v>
      </c>
      <c r="D145">
        <v>71.23</v>
      </c>
      <c r="E145" t="s">
        <v>5</v>
      </c>
      <c r="F145">
        <v>9.34</v>
      </c>
      <c r="G145" t="s">
        <v>11</v>
      </c>
      <c r="H145" t="str">
        <f t="shared" si="18"/>
        <v>Passed</v>
      </c>
      <c r="I145" t="str">
        <f>IF(AND(Sheet1[[#This Row],[Attendance ]]&gt;65,Sheet1[[#This Row],[Attendance ]]&lt;75),"Yes","No")</f>
        <v>Yes</v>
      </c>
      <c r="J145" t="str">
        <f>IF(Sheet1[[#This Row],[Attendance ]]&lt;65,"Yes","No")</f>
        <v>No</v>
      </c>
      <c r="K145" t="str">
        <f>CHOOSE(MOD(ROW()-2,8)+1,
"Kadapa",
"Ananthapur",
"Rayachoti",
"Nellore",
"Chittoor",
"Madanapalli",
"Rajampeta",
"Tirupati")</f>
        <v>Tirupati</v>
      </c>
      <c r="L145" t="str">
        <f>IF(AND(G143="4th Year",E143="Pass",F143&gt;=7),"Yes","No")</f>
        <v>No</v>
      </c>
    </row>
    <row r="146" spans="1:16" hidden="1" x14ac:dyDescent="0.35">
      <c r="A146" t="s">
        <v>187</v>
      </c>
      <c r="B146" t="s">
        <v>22</v>
      </c>
      <c r="C146" t="s">
        <v>9</v>
      </c>
      <c r="D146">
        <v>83.57</v>
      </c>
      <c r="E146" t="s">
        <v>5</v>
      </c>
      <c r="F146">
        <v>8.3800000000000008</v>
      </c>
      <c r="G146" t="s">
        <v>26</v>
      </c>
      <c r="H146" t="str">
        <f t="shared" si="18"/>
        <v>Passed</v>
      </c>
      <c r="I146" t="str">
        <f>IF(AND(Sheet1[[#This Row],[Attendance ]]&gt;65,Sheet1[[#This Row],[Attendance ]]&lt;75),"Yes","No")</f>
        <v>No</v>
      </c>
      <c r="J146" t="str">
        <f>IF(Sheet1[[#This Row],[Attendance ]]&lt;65,"Yes","No")</f>
        <v>No</v>
      </c>
    </row>
    <row r="147" spans="1:16" hidden="1" x14ac:dyDescent="0.35">
      <c r="A147" t="s">
        <v>188</v>
      </c>
      <c r="B147" t="s">
        <v>19</v>
      </c>
      <c r="C147" t="s">
        <v>23</v>
      </c>
      <c r="D147">
        <v>77.709999999999994</v>
      </c>
      <c r="E147" t="s">
        <v>5</v>
      </c>
      <c r="F147">
        <v>8.7899999999999991</v>
      </c>
      <c r="G147" t="s">
        <v>6</v>
      </c>
      <c r="H147" t="str">
        <f t="shared" si="18"/>
        <v>Passed</v>
      </c>
      <c r="I147" t="str">
        <f>IF(AND(Sheet1[[#This Row],[Attendance ]]&gt;65,Sheet1[[#This Row],[Attendance ]]&lt;75),"Yes","No")</f>
        <v>No</v>
      </c>
      <c r="J147" t="str">
        <f>IF(Sheet1[[#This Row],[Attendance ]]&lt;65,"Yes","No")</f>
        <v>No</v>
      </c>
    </row>
    <row r="148" spans="1:16" hidden="1" x14ac:dyDescent="0.35">
      <c r="A148" t="s">
        <v>189</v>
      </c>
      <c r="B148" t="s">
        <v>15</v>
      </c>
      <c r="C148" t="s">
        <v>35</v>
      </c>
      <c r="D148">
        <v>83.96</v>
      </c>
      <c r="E148" t="s">
        <v>5</v>
      </c>
      <c r="F148">
        <v>9.49</v>
      </c>
      <c r="G148" t="s">
        <v>26</v>
      </c>
      <c r="H148" t="str">
        <f t="shared" si="18"/>
        <v>Passed</v>
      </c>
      <c r="I148" t="str">
        <f>IF(AND(Sheet1[[#This Row],[Attendance ]]&gt;65,Sheet1[[#This Row],[Attendance ]]&lt;75),"Yes","No")</f>
        <v>No</v>
      </c>
      <c r="J148" t="str">
        <f>IF(Sheet1[[#This Row],[Attendance ]]&lt;65,"Yes","No")</f>
        <v>No</v>
      </c>
    </row>
    <row r="149" spans="1:16" hidden="1" x14ac:dyDescent="0.35">
      <c r="A149" t="s">
        <v>190</v>
      </c>
      <c r="B149" t="s">
        <v>116</v>
      </c>
      <c r="C149" t="s">
        <v>20</v>
      </c>
      <c r="D149">
        <v>91.23</v>
      </c>
      <c r="E149" t="s">
        <v>5</v>
      </c>
      <c r="F149">
        <v>8.42</v>
      </c>
      <c r="G149" t="s">
        <v>26</v>
      </c>
      <c r="H149" t="str">
        <f t="shared" si="18"/>
        <v>Passed</v>
      </c>
      <c r="I149" t="str">
        <f>IF(AND(Sheet1[[#This Row],[Attendance ]]&gt;65,Sheet1[[#This Row],[Attendance ]]&lt;75),"Yes","No")</f>
        <v>No</v>
      </c>
      <c r="J149" t="str">
        <f>IF(Sheet1[[#This Row],[Attendance ]]&lt;65,"Yes","No")</f>
        <v>No</v>
      </c>
    </row>
    <row r="150" spans="1:16" x14ac:dyDescent="0.35">
      <c r="A150" t="s">
        <v>191</v>
      </c>
      <c r="B150" t="s">
        <v>61</v>
      </c>
      <c r="C150" t="s">
        <v>4</v>
      </c>
      <c r="D150">
        <v>73.150000000000006</v>
      </c>
      <c r="E150" t="s">
        <v>10</v>
      </c>
      <c r="F150">
        <v>7.38</v>
      </c>
      <c r="G150" t="s">
        <v>11</v>
      </c>
      <c r="H150" t="str">
        <f t="shared" si="18"/>
        <v>M1</v>
      </c>
      <c r="I150" t="str">
        <f>IF(AND(Sheet1[[#This Row],[Attendance ]]&gt;65,Sheet1[[#This Row],[Attendance ]]&lt;75),"Yes","No")</f>
        <v>Yes</v>
      </c>
      <c r="J150" t="str">
        <f>IF(Sheet1[[#This Row],[Attendance ]]&lt;65,"Yes","No")</f>
        <v>No</v>
      </c>
      <c r="K150" t="str">
        <f t="shared" ref="K150:K151" si="23">CHOOSE(MOD(ROW()-2,8)+1,
"Kadapa",
"Ananthapur",
"Rayachoti",
"Nellore",
"Chittoor",
"Madanapalli",
"Rajampeta",
"Tirupati")</f>
        <v>Chittoor</v>
      </c>
      <c r="L150" t="str">
        <f t="shared" ref="L150:L151" si="24">IF(AND(G148="4th Year",E148="Pass",F148&gt;=7),"Yes","No")</f>
        <v>Yes</v>
      </c>
    </row>
    <row r="151" spans="1:16" x14ac:dyDescent="0.35">
      <c r="A151" t="s">
        <v>192</v>
      </c>
      <c r="B151" t="s">
        <v>30</v>
      </c>
      <c r="C151" t="s">
        <v>9</v>
      </c>
      <c r="D151">
        <v>68.89</v>
      </c>
      <c r="E151" t="s">
        <v>5</v>
      </c>
      <c r="F151">
        <v>9.16</v>
      </c>
      <c r="G151" t="s">
        <v>26</v>
      </c>
      <c r="H151" t="str">
        <f t="shared" si="18"/>
        <v>Passed</v>
      </c>
      <c r="I151" t="str">
        <f>IF(AND(Sheet1[[#This Row],[Attendance ]]&gt;65,Sheet1[[#This Row],[Attendance ]]&lt;75),"Yes","No")</f>
        <v>Yes</v>
      </c>
      <c r="J151" t="str">
        <f>IF(Sheet1[[#This Row],[Attendance ]]&lt;65,"Yes","No")</f>
        <v>No</v>
      </c>
      <c r="K151" t="str">
        <f t="shared" si="23"/>
        <v>Madanapalli</v>
      </c>
      <c r="L151" t="str">
        <f t="shared" si="24"/>
        <v>Yes</v>
      </c>
    </row>
    <row r="152" spans="1:16" hidden="1" x14ac:dyDescent="0.35">
      <c r="A152" t="s">
        <v>193</v>
      </c>
      <c r="B152" t="s">
        <v>77</v>
      </c>
      <c r="C152" t="s">
        <v>13</v>
      </c>
      <c r="D152">
        <v>64.72</v>
      </c>
      <c r="E152" t="s">
        <v>5</v>
      </c>
      <c r="F152">
        <v>9.5399999999999991</v>
      </c>
      <c r="G152" t="s">
        <v>26</v>
      </c>
      <c r="H152" t="str">
        <f t="shared" si="18"/>
        <v>Passed</v>
      </c>
      <c r="I152" t="str">
        <f>IF(AND(Sheet1[[#This Row],[Attendance ]]&gt;65,Sheet1[[#This Row],[Attendance ]]&lt;75),"Yes","No")</f>
        <v>No</v>
      </c>
      <c r="J152" t="str">
        <f>IF(Sheet1[[#This Row],[Attendance ]]&lt;65,"Yes","No")</f>
        <v>Yes</v>
      </c>
    </row>
    <row r="153" spans="1:16" hidden="1" x14ac:dyDescent="0.35">
      <c r="A153" t="s">
        <v>194</v>
      </c>
      <c r="B153" t="s">
        <v>72</v>
      </c>
      <c r="C153" t="s">
        <v>13</v>
      </c>
      <c r="D153">
        <v>63.94</v>
      </c>
      <c r="E153" t="s">
        <v>5</v>
      </c>
      <c r="F153">
        <v>9.06</v>
      </c>
      <c r="G153" t="s">
        <v>28</v>
      </c>
      <c r="H153" t="str">
        <f t="shared" si="18"/>
        <v>Passed</v>
      </c>
      <c r="I153" t="str">
        <f>IF(AND(Sheet1[[#This Row],[Attendance ]]&gt;65,Sheet1[[#This Row],[Attendance ]]&lt;75),"Yes","No")</f>
        <v>No</v>
      </c>
      <c r="J153" t="str">
        <f>IF(Sheet1[[#This Row],[Attendance ]]&lt;65,"Yes","No")</f>
        <v>Yes</v>
      </c>
    </row>
    <row r="154" spans="1:16" hidden="1" x14ac:dyDescent="0.35">
      <c r="A154" t="s">
        <v>195</v>
      </c>
      <c r="B154" t="s">
        <v>32</v>
      </c>
      <c r="C154" t="s">
        <v>9</v>
      </c>
      <c r="D154">
        <v>60.09</v>
      </c>
      <c r="E154" t="s">
        <v>5</v>
      </c>
      <c r="F154">
        <v>6.67</v>
      </c>
      <c r="G154" t="s">
        <v>28</v>
      </c>
      <c r="H154" t="str">
        <f t="shared" si="18"/>
        <v>Passed</v>
      </c>
      <c r="I154" t="str">
        <f>IF(AND(Sheet1[[#This Row],[Attendance ]]&gt;65,Sheet1[[#This Row],[Attendance ]]&lt;75),"Yes","No")</f>
        <v>No</v>
      </c>
      <c r="J154" t="str">
        <f>IF(Sheet1[[#This Row],[Attendance ]]&lt;65,"Yes","No")</f>
        <v>Yes</v>
      </c>
    </row>
    <row r="155" spans="1:16" hidden="1" x14ac:dyDescent="0.35">
      <c r="A155" t="s">
        <v>196</v>
      </c>
      <c r="B155" t="s">
        <v>39</v>
      </c>
      <c r="C155" t="s">
        <v>13</v>
      </c>
      <c r="D155">
        <v>97.09</v>
      </c>
      <c r="E155" t="s">
        <v>5</v>
      </c>
      <c r="F155">
        <v>7.47</v>
      </c>
      <c r="G155" t="s">
        <v>28</v>
      </c>
      <c r="H155" t="str">
        <f t="shared" si="18"/>
        <v>Passed</v>
      </c>
      <c r="I155" t="str">
        <f>IF(AND(Sheet1[[#This Row],[Attendance ]]&gt;65,Sheet1[[#This Row],[Attendance ]]&lt;75),"Yes","No")</f>
        <v>No</v>
      </c>
      <c r="J155" t="str">
        <f>IF(Sheet1[[#This Row],[Attendance ]]&lt;65,"Yes","No")</f>
        <v>No</v>
      </c>
    </row>
    <row r="156" spans="1:16" x14ac:dyDescent="0.35">
      <c r="A156" t="s">
        <v>197</v>
      </c>
      <c r="B156" t="s">
        <v>12</v>
      </c>
      <c r="C156" t="s">
        <v>35</v>
      </c>
      <c r="D156">
        <v>71.430000000000007</v>
      </c>
      <c r="E156" t="s">
        <v>5</v>
      </c>
      <c r="F156">
        <v>8.56</v>
      </c>
      <c r="G156" t="s">
        <v>6</v>
      </c>
      <c r="H156" t="str">
        <f t="shared" si="18"/>
        <v>Passed</v>
      </c>
      <c r="I156" t="str">
        <f>IF(AND(Sheet1[[#This Row],[Attendance ]]&gt;65,Sheet1[[#This Row],[Attendance ]]&lt;75),"Yes","No")</f>
        <v>Yes</v>
      </c>
      <c r="J156" t="str">
        <f>IF(Sheet1[[#This Row],[Attendance ]]&lt;65,"Yes","No")</f>
        <v>No</v>
      </c>
      <c r="K156" t="str">
        <f>CHOOSE(MOD(ROW()-2,8)+1,
"Kadapa",
"Ananthapur",
"Rayachoti",
"Nellore",
"Chittoor",
"Madanapalli",
"Rajampeta",
"Tirupati")</f>
        <v>Rayachoti</v>
      </c>
      <c r="L156" t="str">
        <f>IF(AND(G154="4th Year",E154="Pass",F154&gt;=7),"Yes","No")</f>
        <v>No</v>
      </c>
      <c r="P156">
        <f>S156</f>
        <v>0</v>
      </c>
    </row>
    <row r="157" spans="1:16" hidden="1" x14ac:dyDescent="0.35">
      <c r="A157" t="s">
        <v>198</v>
      </c>
      <c r="B157" t="s">
        <v>103</v>
      </c>
      <c r="C157" t="s">
        <v>35</v>
      </c>
      <c r="D157">
        <v>90.25</v>
      </c>
      <c r="E157" t="s">
        <v>5</v>
      </c>
      <c r="F157">
        <v>7.27</v>
      </c>
      <c r="G157" t="s">
        <v>26</v>
      </c>
      <c r="H157" t="str">
        <f t="shared" si="18"/>
        <v>Passed</v>
      </c>
      <c r="I157" t="str">
        <f>IF(AND(Sheet1[[#This Row],[Attendance ]]&gt;65,Sheet1[[#This Row],[Attendance ]]&lt;75),"Yes","No")</f>
        <v>No</v>
      </c>
      <c r="J157" t="str">
        <f>IF(Sheet1[[#This Row],[Attendance ]]&lt;65,"Yes","No")</f>
        <v>No</v>
      </c>
    </row>
    <row r="158" spans="1:16" hidden="1" x14ac:dyDescent="0.35">
      <c r="A158" t="s">
        <v>199</v>
      </c>
      <c r="B158" t="s">
        <v>63</v>
      </c>
      <c r="C158" t="s">
        <v>9</v>
      </c>
      <c r="D158">
        <v>75.94</v>
      </c>
      <c r="E158" t="s">
        <v>5</v>
      </c>
      <c r="F158">
        <v>9.77</v>
      </c>
      <c r="G158" t="s">
        <v>28</v>
      </c>
      <c r="H158" t="str">
        <f t="shared" si="18"/>
        <v>Passed</v>
      </c>
      <c r="I158" t="str">
        <f>IF(AND(Sheet1[[#This Row],[Attendance ]]&gt;65,Sheet1[[#This Row],[Attendance ]]&lt;75),"Yes","No")</f>
        <v>No</v>
      </c>
      <c r="J158" t="str">
        <f>IF(Sheet1[[#This Row],[Attendance ]]&lt;65,"Yes","No")</f>
        <v>No</v>
      </c>
    </row>
    <row r="159" spans="1:16" hidden="1" x14ac:dyDescent="0.35">
      <c r="A159" t="s">
        <v>200</v>
      </c>
      <c r="B159" t="s">
        <v>32</v>
      </c>
      <c r="C159" t="s">
        <v>23</v>
      </c>
      <c r="D159">
        <v>92.97</v>
      </c>
      <c r="E159" t="s">
        <v>10</v>
      </c>
      <c r="F159">
        <v>9.31</v>
      </c>
      <c r="G159" t="s">
        <v>28</v>
      </c>
      <c r="H159" t="str">
        <f t="shared" si="18"/>
        <v>Machine Learning</v>
      </c>
      <c r="I159" t="str">
        <f>IF(AND(Sheet1[[#This Row],[Attendance ]]&gt;65,Sheet1[[#This Row],[Attendance ]]&lt;75),"Yes","No")</f>
        <v>No</v>
      </c>
      <c r="J159" t="str">
        <f>IF(Sheet1[[#This Row],[Attendance ]]&lt;65,"Yes","No")</f>
        <v>No</v>
      </c>
    </row>
    <row r="160" spans="1:16" hidden="1" x14ac:dyDescent="0.35">
      <c r="A160" t="s">
        <v>201</v>
      </c>
      <c r="B160" t="s">
        <v>34</v>
      </c>
      <c r="C160" t="s">
        <v>23</v>
      </c>
      <c r="D160">
        <v>62.97</v>
      </c>
      <c r="E160" t="s">
        <v>5</v>
      </c>
      <c r="F160">
        <v>7.83</v>
      </c>
      <c r="G160" t="s">
        <v>26</v>
      </c>
      <c r="H160" t="str">
        <f t="shared" si="18"/>
        <v>Passed</v>
      </c>
      <c r="I160" t="str">
        <f>IF(AND(Sheet1[[#This Row],[Attendance ]]&gt;65,Sheet1[[#This Row],[Attendance ]]&lt;75),"Yes","No")</f>
        <v>No</v>
      </c>
      <c r="J160" t="str">
        <f>IF(Sheet1[[#This Row],[Attendance ]]&lt;65,"Yes","No")</f>
        <v>Yes</v>
      </c>
    </row>
    <row r="161" spans="1:12" x14ac:dyDescent="0.35">
      <c r="A161" t="s">
        <v>202</v>
      </c>
      <c r="B161" t="s">
        <v>72</v>
      </c>
      <c r="C161" t="s">
        <v>13</v>
      </c>
      <c r="D161">
        <v>67.260000000000005</v>
      </c>
      <c r="E161" t="s">
        <v>5</v>
      </c>
      <c r="F161">
        <v>6.37</v>
      </c>
      <c r="G161" t="s">
        <v>28</v>
      </c>
      <c r="H161" t="str">
        <f t="shared" si="18"/>
        <v>Passed</v>
      </c>
      <c r="I161" t="str">
        <f>IF(AND(Sheet1[[#This Row],[Attendance ]]&gt;65,Sheet1[[#This Row],[Attendance ]]&lt;75),"Yes","No")</f>
        <v>Yes</v>
      </c>
      <c r="J161" t="str">
        <f>IF(Sheet1[[#This Row],[Attendance ]]&lt;65,"Yes","No")</f>
        <v>No</v>
      </c>
      <c r="K161" t="str">
        <f>CHOOSE(MOD(ROW()-2,8)+1,
"Kadapa",
"Ananthapur",
"Rayachoti",
"Nellore",
"Chittoor",
"Madanapalli",
"Rajampeta",
"Tirupati")</f>
        <v>Tirupati</v>
      </c>
      <c r="L161" t="str">
        <f>IF(AND(G159="4th Year",E159="Pass",F159&gt;=7),"Yes","No")</f>
        <v>No</v>
      </c>
    </row>
    <row r="162" spans="1:12" hidden="1" x14ac:dyDescent="0.35">
      <c r="A162" t="s">
        <v>203</v>
      </c>
      <c r="B162" t="s">
        <v>22</v>
      </c>
      <c r="C162" t="s">
        <v>9</v>
      </c>
      <c r="D162">
        <v>64.84</v>
      </c>
      <c r="E162" t="s">
        <v>5</v>
      </c>
      <c r="F162">
        <v>5.93</v>
      </c>
      <c r="G162" t="s">
        <v>6</v>
      </c>
      <c r="H162" t="str">
        <f t="shared" si="18"/>
        <v>Passed</v>
      </c>
      <c r="I162" t="str">
        <f>IF(AND(Sheet1[[#This Row],[Attendance ]]&gt;65,Sheet1[[#This Row],[Attendance ]]&lt;75),"Yes","No")</f>
        <v>No</v>
      </c>
      <c r="J162" t="str">
        <f>IF(Sheet1[[#This Row],[Attendance ]]&lt;65,"Yes","No")</f>
        <v>Yes</v>
      </c>
    </row>
    <row r="163" spans="1:12" hidden="1" x14ac:dyDescent="0.35">
      <c r="A163" t="s">
        <v>204</v>
      </c>
      <c r="B163" t="s">
        <v>103</v>
      </c>
      <c r="C163" t="s">
        <v>23</v>
      </c>
      <c r="D163">
        <v>78.12</v>
      </c>
      <c r="E163" t="s">
        <v>5</v>
      </c>
      <c r="F163">
        <v>5.24</v>
      </c>
      <c r="G163" t="s">
        <v>6</v>
      </c>
      <c r="H163" t="str">
        <f t="shared" si="18"/>
        <v>Passed</v>
      </c>
      <c r="I163" t="str">
        <f>IF(AND(Sheet1[[#This Row],[Attendance ]]&gt;65,Sheet1[[#This Row],[Attendance ]]&lt;75),"Yes","No")</f>
        <v>No</v>
      </c>
      <c r="J163" t="str">
        <f>IF(Sheet1[[#This Row],[Attendance ]]&lt;65,"Yes","No")</f>
        <v>No</v>
      </c>
    </row>
    <row r="164" spans="1:12" hidden="1" x14ac:dyDescent="0.35">
      <c r="A164" t="s">
        <v>205</v>
      </c>
      <c r="B164" t="s">
        <v>8</v>
      </c>
      <c r="C164" t="s">
        <v>13</v>
      </c>
      <c r="D164">
        <v>62.21</v>
      </c>
      <c r="E164" t="s">
        <v>5</v>
      </c>
      <c r="F164">
        <v>7.92</v>
      </c>
      <c r="G164" t="s">
        <v>28</v>
      </c>
      <c r="H164" t="str">
        <f t="shared" si="18"/>
        <v>Passed</v>
      </c>
      <c r="I164" t="str">
        <f>IF(AND(Sheet1[[#This Row],[Attendance ]]&gt;65,Sheet1[[#This Row],[Attendance ]]&lt;75),"Yes","No")</f>
        <v>No</v>
      </c>
      <c r="J164" t="str">
        <f>IF(Sheet1[[#This Row],[Attendance ]]&lt;65,"Yes","No")</f>
        <v>Yes</v>
      </c>
    </row>
    <row r="165" spans="1:12" hidden="1" x14ac:dyDescent="0.35">
      <c r="A165" t="s">
        <v>206</v>
      </c>
      <c r="B165" t="s">
        <v>110</v>
      </c>
      <c r="C165" t="s">
        <v>20</v>
      </c>
      <c r="D165">
        <v>87.51</v>
      </c>
      <c r="E165" t="s">
        <v>5</v>
      </c>
      <c r="F165">
        <v>5.32</v>
      </c>
      <c r="G165" t="s">
        <v>6</v>
      </c>
      <c r="H165" t="str">
        <f t="shared" si="18"/>
        <v>Passed</v>
      </c>
      <c r="I165" t="str">
        <f>IF(AND(Sheet1[[#This Row],[Attendance ]]&gt;65,Sheet1[[#This Row],[Attendance ]]&lt;75),"Yes","No")</f>
        <v>No</v>
      </c>
      <c r="J165" t="str">
        <f>IF(Sheet1[[#This Row],[Attendance ]]&lt;65,"Yes","No")</f>
        <v>No</v>
      </c>
    </row>
    <row r="166" spans="1:12" hidden="1" x14ac:dyDescent="0.35">
      <c r="A166" t="s">
        <v>207</v>
      </c>
      <c r="B166" t="s">
        <v>19</v>
      </c>
      <c r="C166" t="s">
        <v>23</v>
      </c>
      <c r="D166">
        <v>89.54</v>
      </c>
      <c r="E166" t="s">
        <v>5</v>
      </c>
      <c r="F166">
        <v>6.04</v>
      </c>
      <c r="G166" t="s">
        <v>26</v>
      </c>
      <c r="H166" t="str">
        <f t="shared" si="18"/>
        <v>Passed</v>
      </c>
      <c r="I166" t="str">
        <f>IF(AND(Sheet1[[#This Row],[Attendance ]]&gt;65,Sheet1[[#This Row],[Attendance ]]&lt;75),"Yes","No")</f>
        <v>No</v>
      </c>
      <c r="J166" t="str">
        <f>IF(Sheet1[[#This Row],[Attendance ]]&lt;65,"Yes","No")</f>
        <v>No</v>
      </c>
    </row>
    <row r="167" spans="1:12" hidden="1" x14ac:dyDescent="0.35">
      <c r="A167" t="s">
        <v>208</v>
      </c>
      <c r="B167" t="s">
        <v>77</v>
      </c>
      <c r="C167" t="s">
        <v>4</v>
      </c>
      <c r="D167">
        <v>92.99</v>
      </c>
      <c r="E167" t="s">
        <v>5</v>
      </c>
      <c r="F167">
        <v>5.82</v>
      </c>
      <c r="G167" t="s">
        <v>26</v>
      </c>
      <c r="H167" t="str">
        <f t="shared" si="18"/>
        <v>Passed</v>
      </c>
      <c r="I167" t="str">
        <f>IF(AND(Sheet1[[#This Row],[Attendance ]]&gt;65,Sheet1[[#This Row],[Attendance ]]&lt;75),"Yes","No")</f>
        <v>No</v>
      </c>
      <c r="J167" t="str">
        <f>IF(Sheet1[[#This Row],[Attendance ]]&lt;65,"Yes","No")</f>
        <v>No</v>
      </c>
    </row>
    <row r="168" spans="1:12" hidden="1" x14ac:dyDescent="0.35">
      <c r="A168" t="s">
        <v>209</v>
      </c>
      <c r="B168" t="s">
        <v>72</v>
      </c>
      <c r="C168" t="s">
        <v>20</v>
      </c>
      <c r="D168">
        <v>77.09</v>
      </c>
      <c r="E168" t="s">
        <v>5</v>
      </c>
      <c r="F168">
        <v>6.51</v>
      </c>
      <c r="G168" t="s">
        <v>26</v>
      </c>
      <c r="H168" t="str">
        <f t="shared" si="18"/>
        <v>Passed</v>
      </c>
      <c r="I168" t="str">
        <f>IF(AND(Sheet1[[#This Row],[Attendance ]]&gt;65,Sheet1[[#This Row],[Attendance ]]&lt;75),"Yes","No")</f>
        <v>No</v>
      </c>
      <c r="J168" t="str">
        <f>IF(Sheet1[[#This Row],[Attendance ]]&lt;65,"Yes","No")</f>
        <v>No</v>
      </c>
    </row>
    <row r="169" spans="1:12" hidden="1" x14ac:dyDescent="0.35">
      <c r="A169" t="s">
        <v>210</v>
      </c>
      <c r="B169" t="s">
        <v>63</v>
      </c>
      <c r="C169" t="s">
        <v>20</v>
      </c>
      <c r="D169">
        <v>76.14</v>
      </c>
      <c r="E169" t="s">
        <v>5</v>
      </c>
      <c r="F169">
        <v>8.3800000000000008</v>
      </c>
      <c r="G169" t="s">
        <v>26</v>
      </c>
      <c r="H169" t="str">
        <f t="shared" si="18"/>
        <v>Passed</v>
      </c>
      <c r="I169" t="str">
        <f>IF(AND(Sheet1[[#This Row],[Attendance ]]&gt;65,Sheet1[[#This Row],[Attendance ]]&lt;75),"Yes","No")</f>
        <v>No</v>
      </c>
      <c r="J169" t="str">
        <f>IF(Sheet1[[#This Row],[Attendance ]]&lt;65,"Yes","No")</f>
        <v>No</v>
      </c>
    </row>
    <row r="170" spans="1:12" hidden="1" x14ac:dyDescent="0.35">
      <c r="A170" t="s">
        <v>211</v>
      </c>
      <c r="B170" t="s">
        <v>3</v>
      </c>
      <c r="C170" t="s">
        <v>13</v>
      </c>
      <c r="D170">
        <v>82.88</v>
      </c>
      <c r="E170" t="s">
        <v>5</v>
      </c>
      <c r="F170">
        <v>6.3</v>
      </c>
      <c r="G170" t="s">
        <v>26</v>
      </c>
      <c r="H170" t="str">
        <f t="shared" si="18"/>
        <v>Passed</v>
      </c>
      <c r="I170" t="str">
        <f>IF(AND(Sheet1[[#This Row],[Attendance ]]&gt;65,Sheet1[[#This Row],[Attendance ]]&lt;75),"Yes","No")</f>
        <v>No</v>
      </c>
      <c r="J170" t="str">
        <f>IF(Sheet1[[#This Row],[Attendance ]]&lt;65,"Yes","No")</f>
        <v>No</v>
      </c>
    </row>
    <row r="171" spans="1:12" hidden="1" x14ac:dyDescent="0.35">
      <c r="A171" t="s">
        <v>212</v>
      </c>
      <c r="B171" t="s">
        <v>58</v>
      </c>
      <c r="C171" t="s">
        <v>35</v>
      </c>
      <c r="D171">
        <v>76.73</v>
      </c>
      <c r="E171" t="s">
        <v>5</v>
      </c>
      <c r="F171">
        <v>7.81</v>
      </c>
      <c r="G171" t="s">
        <v>26</v>
      </c>
      <c r="H171" t="str">
        <f t="shared" si="18"/>
        <v>Passed</v>
      </c>
      <c r="I171" t="str">
        <f>IF(AND(Sheet1[[#This Row],[Attendance ]]&gt;65,Sheet1[[#This Row],[Attendance ]]&lt;75),"Yes","No")</f>
        <v>No</v>
      </c>
      <c r="J171" t="str">
        <f>IF(Sheet1[[#This Row],[Attendance ]]&lt;65,"Yes","No")</f>
        <v>No</v>
      </c>
    </row>
    <row r="172" spans="1:12" hidden="1" x14ac:dyDescent="0.35">
      <c r="A172" t="s">
        <v>213</v>
      </c>
      <c r="B172" t="s">
        <v>32</v>
      </c>
      <c r="C172" t="s">
        <v>20</v>
      </c>
      <c r="D172">
        <v>95.76</v>
      </c>
      <c r="E172" t="s">
        <v>5</v>
      </c>
      <c r="F172">
        <v>8.66</v>
      </c>
      <c r="G172" t="s">
        <v>11</v>
      </c>
      <c r="H172" t="str">
        <f t="shared" si="18"/>
        <v>Passed</v>
      </c>
      <c r="I172" t="str">
        <f>IF(AND(Sheet1[[#This Row],[Attendance ]]&gt;65,Sheet1[[#This Row],[Attendance ]]&lt;75),"Yes","No")</f>
        <v>No</v>
      </c>
      <c r="J172" t="str">
        <f>IF(Sheet1[[#This Row],[Attendance ]]&lt;65,"Yes","No")</f>
        <v>No</v>
      </c>
    </row>
    <row r="173" spans="1:12" hidden="1" x14ac:dyDescent="0.35">
      <c r="A173" t="s">
        <v>214</v>
      </c>
      <c r="B173" t="s">
        <v>32</v>
      </c>
      <c r="C173" t="s">
        <v>9</v>
      </c>
      <c r="D173">
        <v>60.6</v>
      </c>
      <c r="E173" t="s">
        <v>5</v>
      </c>
      <c r="F173">
        <v>5.14</v>
      </c>
      <c r="G173" t="s">
        <v>26</v>
      </c>
      <c r="H173" t="str">
        <f t="shared" si="18"/>
        <v>Passed</v>
      </c>
      <c r="I173" t="str">
        <f>IF(AND(Sheet1[[#This Row],[Attendance ]]&gt;65,Sheet1[[#This Row],[Attendance ]]&lt;75),"Yes","No")</f>
        <v>No</v>
      </c>
      <c r="J173" t="str">
        <f>IF(Sheet1[[#This Row],[Attendance ]]&lt;65,"Yes","No")</f>
        <v>Yes</v>
      </c>
    </row>
    <row r="174" spans="1:12" hidden="1" x14ac:dyDescent="0.35">
      <c r="A174" t="s">
        <v>215</v>
      </c>
      <c r="B174" t="s">
        <v>116</v>
      </c>
      <c r="C174" t="s">
        <v>13</v>
      </c>
      <c r="D174">
        <v>93.29</v>
      </c>
      <c r="E174" t="s">
        <v>5</v>
      </c>
      <c r="F174">
        <v>5.19</v>
      </c>
      <c r="G174" t="s">
        <v>26</v>
      </c>
      <c r="H174" t="str">
        <f t="shared" si="18"/>
        <v>Passed</v>
      </c>
      <c r="I174" t="str">
        <f>IF(AND(Sheet1[[#This Row],[Attendance ]]&gt;65,Sheet1[[#This Row],[Attendance ]]&lt;75),"Yes","No")</f>
        <v>No</v>
      </c>
      <c r="J174" t="str">
        <f>IF(Sheet1[[#This Row],[Attendance ]]&lt;65,"Yes","No")</f>
        <v>No</v>
      </c>
    </row>
    <row r="175" spans="1:12" hidden="1" x14ac:dyDescent="0.35">
      <c r="A175" t="s">
        <v>216</v>
      </c>
      <c r="B175" t="s">
        <v>61</v>
      </c>
      <c r="C175" t="s">
        <v>23</v>
      </c>
      <c r="D175">
        <v>79.03</v>
      </c>
      <c r="E175" t="s">
        <v>5</v>
      </c>
      <c r="F175">
        <v>6.72</v>
      </c>
      <c r="G175" t="s">
        <v>11</v>
      </c>
      <c r="H175" t="str">
        <f t="shared" si="18"/>
        <v>Passed</v>
      </c>
      <c r="I175" t="str">
        <f>IF(AND(Sheet1[[#This Row],[Attendance ]]&gt;65,Sheet1[[#This Row],[Attendance ]]&lt;75),"Yes","No")</f>
        <v>No</v>
      </c>
      <c r="J175" t="str">
        <f>IF(Sheet1[[#This Row],[Attendance ]]&lt;65,"Yes","No")</f>
        <v>No</v>
      </c>
    </row>
    <row r="176" spans="1:12" hidden="1" x14ac:dyDescent="0.35">
      <c r="A176" t="s">
        <v>217</v>
      </c>
      <c r="B176" t="s">
        <v>88</v>
      </c>
      <c r="C176" t="s">
        <v>23</v>
      </c>
      <c r="D176">
        <v>79.28</v>
      </c>
      <c r="E176" t="s">
        <v>5</v>
      </c>
      <c r="F176">
        <v>6.34</v>
      </c>
      <c r="G176" t="s">
        <v>28</v>
      </c>
      <c r="H176" t="str">
        <f t="shared" si="18"/>
        <v>Passed</v>
      </c>
      <c r="I176" t="str">
        <f>IF(AND(Sheet1[[#This Row],[Attendance ]]&gt;65,Sheet1[[#This Row],[Attendance ]]&lt;75),"Yes","No")</f>
        <v>No</v>
      </c>
      <c r="J176" t="str">
        <f>IF(Sheet1[[#This Row],[Attendance ]]&lt;65,"Yes","No")</f>
        <v>No</v>
      </c>
    </row>
    <row r="177" spans="1:12" hidden="1" x14ac:dyDescent="0.35">
      <c r="A177" t="s">
        <v>218</v>
      </c>
      <c r="B177" t="s">
        <v>43</v>
      </c>
      <c r="C177" t="s">
        <v>35</v>
      </c>
      <c r="D177">
        <v>79.3</v>
      </c>
      <c r="E177" t="s">
        <v>5</v>
      </c>
      <c r="F177">
        <v>8.33</v>
      </c>
      <c r="G177" t="s">
        <v>11</v>
      </c>
      <c r="H177" t="str">
        <f t="shared" si="18"/>
        <v>Passed</v>
      </c>
      <c r="I177" t="str">
        <f>IF(AND(Sheet1[[#This Row],[Attendance ]]&gt;65,Sheet1[[#This Row],[Attendance ]]&lt;75),"Yes","No")</f>
        <v>No</v>
      </c>
      <c r="J177" t="str">
        <f>IF(Sheet1[[#This Row],[Attendance ]]&lt;65,"Yes","No")</f>
        <v>No</v>
      </c>
    </row>
    <row r="178" spans="1:12" hidden="1" x14ac:dyDescent="0.35">
      <c r="A178" t="s">
        <v>219</v>
      </c>
      <c r="B178" t="s">
        <v>34</v>
      </c>
      <c r="C178" t="s">
        <v>13</v>
      </c>
      <c r="D178">
        <v>82.15</v>
      </c>
      <c r="E178" t="s">
        <v>5</v>
      </c>
      <c r="F178">
        <v>9.33</v>
      </c>
      <c r="G178" t="s">
        <v>6</v>
      </c>
      <c r="H178" t="str">
        <f t="shared" si="18"/>
        <v>Passed</v>
      </c>
      <c r="I178" t="str">
        <f>IF(AND(Sheet1[[#This Row],[Attendance ]]&gt;65,Sheet1[[#This Row],[Attendance ]]&lt;75),"Yes","No")</f>
        <v>No</v>
      </c>
      <c r="J178" t="str">
        <f>IF(Sheet1[[#This Row],[Attendance ]]&lt;65,"Yes","No")</f>
        <v>No</v>
      </c>
    </row>
    <row r="179" spans="1:12" x14ac:dyDescent="0.35">
      <c r="A179" t="s">
        <v>220</v>
      </c>
      <c r="B179" t="s">
        <v>45</v>
      </c>
      <c r="C179" t="s">
        <v>4</v>
      </c>
      <c r="D179">
        <v>67.28</v>
      </c>
      <c r="E179" t="s">
        <v>5</v>
      </c>
      <c r="F179">
        <v>7.23</v>
      </c>
      <c r="G179" t="s">
        <v>28</v>
      </c>
      <c r="H179" t="str">
        <f t="shared" si="18"/>
        <v>Passed</v>
      </c>
      <c r="I179" t="str">
        <f>IF(AND(Sheet1[[#This Row],[Attendance ]]&gt;65,Sheet1[[#This Row],[Attendance ]]&lt;75),"Yes","No")</f>
        <v>Yes</v>
      </c>
      <c r="J179" t="str">
        <f>IF(Sheet1[[#This Row],[Attendance ]]&lt;65,"Yes","No")</f>
        <v>No</v>
      </c>
      <c r="K179" t="str">
        <f>CHOOSE(MOD(ROW()-2,8)+1,
"Kadapa",
"Ananthapur",
"Rayachoti",
"Nellore",
"Chittoor",
"Madanapalli",
"Rajampeta",
"Tirupati")</f>
        <v>Ananthapur</v>
      </c>
      <c r="L179" t="str">
        <f>IF(AND(G177="4th Year",E177="Pass",F177&gt;=7),"Yes","No")</f>
        <v>No</v>
      </c>
    </row>
    <row r="180" spans="1:12" hidden="1" x14ac:dyDescent="0.35">
      <c r="A180" t="s">
        <v>221</v>
      </c>
      <c r="B180" t="s">
        <v>8</v>
      </c>
      <c r="C180" t="s">
        <v>13</v>
      </c>
      <c r="D180">
        <v>84.48</v>
      </c>
      <c r="E180" t="s">
        <v>5</v>
      </c>
      <c r="F180">
        <v>5.22</v>
      </c>
      <c r="G180" t="s">
        <v>26</v>
      </c>
      <c r="H180" t="str">
        <f t="shared" si="18"/>
        <v>Passed</v>
      </c>
      <c r="I180" t="str">
        <f>IF(AND(Sheet1[[#This Row],[Attendance ]]&gt;65,Sheet1[[#This Row],[Attendance ]]&lt;75),"Yes","No")</f>
        <v>No</v>
      </c>
      <c r="J180" t="str">
        <f>IF(Sheet1[[#This Row],[Attendance ]]&lt;65,"Yes","No")</f>
        <v>No</v>
      </c>
    </row>
    <row r="181" spans="1:12" hidden="1" x14ac:dyDescent="0.35">
      <c r="A181" t="s">
        <v>222</v>
      </c>
      <c r="B181" t="s">
        <v>37</v>
      </c>
      <c r="C181" t="s">
        <v>23</v>
      </c>
      <c r="D181">
        <v>95.79</v>
      </c>
      <c r="E181" t="s">
        <v>5</v>
      </c>
      <c r="F181">
        <v>7.06</v>
      </c>
      <c r="G181" t="s">
        <v>26</v>
      </c>
      <c r="H181" t="str">
        <f t="shared" si="18"/>
        <v>Passed</v>
      </c>
      <c r="I181" t="str">
        <f>IF(AND(Sheet1[[#This Row],[Attendance ]]&gt;65,Sheet1[[#This Row],[Attendance ]]&lt;75),"Yes","No")</f>
        <v>No</v>
      </c>
      <c r="J181" t="str">
        <f>IF(Sheet1[[#This Row],[Attendance ]]&lt;65,"Yes","No")</f>
        <v>No</v>
      </c>
    </row>
    <row r="182" spans="1:12" hidden="1" x14ac:dyDescent="0.35">
      <c r="A182" t="s">
        <v>223</v>
      </c>
      <c r="B182" t="s">
        <v>22</v>
      </c>
      <c r="C182" t="s">
        <v>9</v>
      </c>
      <c r="D182">
        <v>83.27</v>
      </c>
      <c r="E182" t="s">
        <v>10</v>
      </c>
      <c r="F182">
        <v>6.53</v>
      </c>
      <c r="G182" t="s">
        <v>28</v>
      </c>
      <c r="H182" t="str">
        <f t="shared" si="18"/>
        <v>Machine Learning</v>
      </c>
      <c r="I182" t="str">
        <f>IF(AND(Sheet1[[#This Row],[Attendance ]]&gt;65,Sheet1[[#This Row],[Attendance ]]&lt;75),"Yes","No")</f>
        <v>No</v>
      </c>
      <c r="J182" t="str">
        <f>IF(Sheet1[[#This Row],[Attendance ]]&lt;65,"Yes","No")</f>
        <v>No</v>
      </c>
    </row>
    <row r="183" spans="1:12" x14ac:dyDescent="0.35">
      <c r="A183" t="s">
        <v>224</v>
      </c>
      <c r="B183" t="s">
        <v>164</v>
      </c>
      <c r="C183" t="s">
        <v>23</v>
      </c>
      <c r="D183">
        <v>67.33</v>
      </c>
      <c r="E183" t="s">
        <v>10</v>
      </c>
      <c r="F183">
        <v>8.99</v>
      </c>
      <c r="G183" t="s">
        <v>28</v>
      </c>
      <c r="H183" t="str">
        <f t="shared" si="18"/>
        <v>Machine Learning</v>
      </c>
      <c r="I183" t="str">
        <f>IF(AND(Sheet1[[#This Row],[Attendance ]]&gt;65,Sheet1[[#This Row],[Attendance ]]&lt;75),"Yes","No")</f>
        <v>Yes</v>
      </c>
      <c r="J183" t="str">
        <f>IF(Sheet1[[#This Row],[Attendance ]]&lt;65,"Yes","No")</f>
        <v>No</v>
      </c>
      <c r="K183" t="str">
        <f>CHOOSE(MOD(ROW()-2,8)+1,
"Kadapa",
"Ananthapur",
"Rayachoti",
"Nellore",
"Chittoor",
"Madanapalli",
"Rajampeta",
"Tirupati")</f>
        <v>Madanapalli</v>
      </c>
      <c r="L183" t="str">
        <f>IF(AND(G181="4th Year",E181="Pass",F181&gt;=7),"Yes","No")</f>
        <v>Yes</v>
      </c>
    </row>
    <row r="184" spans="1:12" hidden="1" x14ac:dyDescent="0.35">
      <c r="A184" t="s">
        <v>225</v>
      </c>
      <c r="B184" t="s">
        <v>110</v>
      </c>
      <c r="C184" t="s">
        <v>13</v>
      </c>
      <c r="D184">
        <v>91</v>
      </c>
      <c r="E184" t="s">
        <v>5</v>
      </c>
      <c r="F184">
        <v>7.95</v>
      </c>
      <c r="G184" t="s">
        <v>28</v>
      </c>
      <c r="H184" t="str">
        <f t="shared" si="18"/>
        <v>Passed</v>
      </c>
      <c r="I184" t="str">
        <f>IF(AND(Sheet1[[#This Row],[Attendance ]]&gt;65,Sheet1[[#This Row],[Attendance ]]&lt;75),"Yes","No")</f>
        <v>No</v>
      </c>
      <c r="J184" t="str">
        <f>IF(Sheet1[[#This Row],[Attendance ]]&lt;65,"Yes","No")</f>
        <v>No</v>
      </c>
    </row>
    <row r="185" spans="1:12" x14ac:dyDescent="0.35">
      <c r="A185" t="s">
        <v>226</v>
      </c>
      <c r="B185" t="s">
        <v>25</v>
      </c>
      <c r="C185" t="s">
        <v>9</v>
      </c>
      <c r="D185">
        <v>65.13</v>
      </c>
      <c r="E185" t="s">
        <v>5</v>
      </c>
      <c r="F185">
        <v>5.64</v>
      </c>
      <c r="G185" t="s">
        <v>28</v>
      </c>
      <c r="H185" t="str">
        <f t="shared" si="18"/>
        <v>Passed</v>
      </c>
      <c r="I185" t="str">
        <f>IF(AND(Sheet1[[#This Row],[Attendance ]]&gt;65,Sheet1[[#This Row],[Attendance ]]&lt;75),"Yes","No")</f>
        <v>Yes</v>
      </c>
      <c r="J185" t="str">
        <f>IF(Sheet1[[#This Row],[Attendance ]]&lt;65,"Yes","No")</f>
        <v>No</v>
      </c>
      <c r="K185" t="str">
        <f t="shared" ref="K185:K186" si="25">CHOOSE(MOD(ROW()-2,8)+1,
"Kadapa",
"Ananthapur",
"Rayachoti",
"Nellore",
"Chittoor",
"Madanapalli",
"Rajampeta",
"Tirupati")</f>
        <v>Tirupati</v>
      </c>
      <c r="L185" t="str">
        <f t="shared" ref="L185:L186" si="26">IF(AND(G183="4th Year",E183="Pass",F183&gt;=7),"Yes","No")</f>
        <v>No</v>
      </c>
    </row>
    <row r="186" spans="1:12" x14ac:dyDescent="0.35">
      <c r="A186" t="s">
        <v>227</v>
      </c>
      <c r="B186" t="s">
        <v>63</v>
      </c>
      <c r="C186" t="s">
        <v>23</v>
      </c>
      <c r="D186">
        <v>70.19</v>
      </c>
      <c r="E186" t="s">
        <v>5</v>
      </c>
      <c r="F186">
        <v>7.39</v>
      </c>
      <c r="G186" t="s">
        <v>6</v>
      </c>
      <c r="H186" t="str">
        <f t="shared" si="18"/>
        <v>Passed</v>
      </c>
      <c r="I186" t="str">
        <f>IF(AND(Sheet1[[#This Row],[Attendance ]]&gt;65,Sheet1[[#This Row],[Attendance ]]&lt;75),"Yes","No")</f>
        <v>Yes</v>
      </c>
      <c r="J186" t="str">
        <f>IF(Sheet1[[#This Row],[Attendance ]]&lt;65,"Yes","No")</f>
        <v>No</v>
      </c>
      <c r="K186" t="str">
        <f t="shared" si="25"/>
        <v>Kadapa</v>
      </c>
      <c r="L186" t="str">
        <f t="shared" si="26"/>
        <v>No</v>
      </c>
    </row>
    <row r="187" spans="1:12" hidden="1" x14ac:dyDescent="0.35">
      <c r="A187" t="s">
        <v>228</v>
      </c>
      <c r="B187" t="s">
        <v>19</v>
      </c>
      <c r="C187" t="s">
        <v>20</v>
      </c>
      <c r="D187">
        <v>64.91</v>
      </c>
      <c r="E187" t="s">
        <v>5</v>
      </c>
      <c r="F187">
        <v>6.95</v>
      </c>
      <c r="G187" t="s">
        <v>28</v>
      </c>
      <c r="H187" t="str">
        <f t="shared" si="18"/>
        <v>Passed</v>
      </c>
      <c r="I187" t="str">
        <f>IF(AND(Sheet1[[#This Row],[Attendance ]]&gt;65,Sheet1[[#This Row],[Attendance ]]&lt;75),"Yes","No")</f>
        <v>No</v>
      </c>
      <c r="J187" t="str">
        <f>IF(Sheet1[[#This Row],[Attendance ]]&lt;65,"Yes","No")</f>
        <v>Yes</v>
      </c>
    </row>
    <row r="188" spans="1:12" x14ac:dyDescent="0.35">
      <c r="A188" t="s">
        <v>229</v>
      </c>
      <c r="B188" t="s">
        <v>58</v>
      </c>
      <c r="C188" t="s">
        <v>35</v>
      </c>
      <c r="D188">
        <v>71.819999999999993</v>
      </c>
      <c r="E188" t="s">
        <v>5</v>
      </c>
      <c r="F188">
        <v>6.41</v>
      </c>
      <c r="G188" t="s">
        <v>26</v>
      </c>
      <c r="H188" t="str">
        <f t="shared" si="18"/>
        <v>Passed</v>
      </c>
      <c r="I188" t="str">
        <f>IF(AND(Sheet1[[#This Row],[Attendance ]]&gt;65,Sheet1[[#This Row],[Attendance ]]&lt;75),"Yes","No")</f>
        <v>Yes</v>
      </c>
      <c r="J188" t="str">
        <f>IF(Sheet1[[#This Row],[Attendance ]]&lt;65,"Yes","No")</f>
        <v>No</v>
      </c>
      <c r="K188" t="str">
        <f>CHOOSE(MOD(ROW()-2,8)+1,
"Kadapa",
"Ananthapur",
"Rayachoti",
"Nellore",
"Chittoor",
"Madanapalli",
"Rajampeta",
"Tirupati")</f>
        <v>Rayachoti</v>
      </c>
      <c r="L188" t="str">
        <f>IF(AND(G186="4th Year",E186="Pass",F186&gt;=7),"Yes","No")</f>
        <v>No</v>
      </c>
    </row>
    <row r="189" spans="1:12" hidden="1" x14ac:dyDescent="0.35">
      <c r="A189" t="s">
        <v>230</v>
      </c>
      <c r="B189" t="s">
        <v>19</v>
      </c>
      <c r="C189" t="s">
        <v>23</v>
      </c>
      <c r="D189">
        <v>60.2</v>
      </c>
      <c r="E189" t="s">
        <v>5</v>
      </c>
      <c r="F189">
        <v>8.9</v>
      </c>
      <c r="G189" t="s">
        <v>26</v>
      </c>
      <c r="H189" t="str">
        <f t="shared" si="18"/>
        <v>Passed</v>
      </c>
      <c r="I189" t="str">
        <f>IF(AND(Sheet1[[#This Row],[Attendance ]]&gt;65,Sheet1[[#This Row],[Attendance ]]&lt;75),"Yes","No")</f>
        <v>No</v>
      </c>
      <c r="J189" t="str">
        <f>IF(Sheet1[[#This Row],[Attendance ]]&lt;65,"Yes","No")</f>
        <v>Yes</v>
      </c>
    </row>
    <row r="190" spans="1:12" hidden="1" x14ac:dyDescent="0.35">
      <c r="A190" t="s">
        <v>231</v>
      </c>
      <c r="B190" t="s">
        <v>3</v>
      </c>
      <c r="C190" t="s">
        <v>35</v>
      </c>
      <c r="D190">
        <v>64.760000000000005</v>
      </c>
      <c r="E190" t="s">
        <v>5</v>
      </c>
      <c r="F190">
        <v>9.51</v>
      </c>
      <c r="G190" t="s">
        <v>11</v>
      </c>
      <c r="H190" t="str">
        <f t="shared" si="18"/>
        <v>Passed</v>
      </c>
      <c r="I190" t="str">
        <f>IF(AND(Sheet1[[#This Row],[Attendance ]]&gt;65,Sheet1[[#This Row],[Attendance ]]&lt;75),"Yes","No")</f>
        <v>No</v>
      </c>
      <c r="J190" t="str">
        <f>IF(Sheet1[[#This Row],[Attendance ]]&lt;65,"Yes","No")</f>
        <v>Yes</v>
      </c>
    </row>
    <row r="191" spans="1:12" hidden="1" x14ac:dyDescent="0.35">
      <c r="A191" t="s">
        <v>232</v>
      </c>
      <c r="B191" t="s">
        <v>17</v>
      </c>
      <c r="C191" t="s">
        <v>4</v>
      </c>
      <c r="D191">
        <v>95.84</v>
      </c>
      <c r="E191" t="s">
        <v>10</v>
      </c>
      <c r="F191">
        <v>6.22</v>
      </c>
      <c r="G191" t="s">
        <v>11</v>
      </c>
      <c r="H191" t="str">
        <f t="shared" si="18"/>
        <v>M1</v>
      </c>
      <c r="I191" t="str">
        <f>IF(AND(Sheet1[[#This Row],[Attendance ]]&gt;65,Sheet1[[#This Row],[Attendance ]]&lt;75),"Yes","No")</f>
        <v>No</v>
      </c>
      <c r="J191" t="str">
        <f>IF(Sheet1[[#This Row],[Attendance ]]&lt;65,"Yes","No")</f>
        <v>No</v>
      </c>
    </row>
    <row r="192" spans="1:12" hidden="1" x14ac:dyDescent="0.35">
      <c r="A192" t="s">
        <v>233</v>
      </c>
      <c r="B192" t="s">
        <v>61</v>
      </c>
      <c r="C192" t="s">
        <v>23</v>
      </c>
      <c r="D192">
        <v>98.34</v>
      </c>
      <c r="E192" t="s">
        <v>5</v>
      </c>
      <c r="F192">
        <v>8.49</v>
      </c>
      <c r="G192" t="s">
        <v>28</v>
      </c>
      <c r="H192" t="str">
        <f t="shared" si="18"/>
        <v>Passed</v>
      </c>
      <c r="I192" t="str">
        <f>IF(AND(Sheet1[[#This Row],[Attendance ]]&gt;65,Sheet1[[#This Row],[Attendance ]]&lt;75),"Yes","No")</f>
        <v>No</v>
      </c>
      <c r="J192" t="str">
        <f>IF(Sheet1[[#This Row],[Attendance ]]&lt;65,"Yes","No")</f>
        <v>No</v>
      </c>
    </row>
    <row r="193" spans="1:12" hidden="1" x14ac:dyDescent="0.35">
      <c r="A193" t="s">
        <v>234</v>
      </c>
      <c r="B193" t="s">
        <v>107</v>
      </c>
      <c r="C193" t="s">
        <v>13</v>
      </c>
      <c r="D193">
        <v>95.42</v>
      </c>
      <c r="E193" t="s">
        <v>5</v>
      </c>
      <c r="F193">
        <v>6.36</v>
      </c>
      <c r="G193" t="s">
        <v>26</v>
      </c>
      <c r="H193" t="str">
        <f t="shared" si="18"/>
        <v>Passed</v>
      </c>
      <c r="I193" t="str">
        <f>IF(AND(Sheet1[[#This Row],[Attendance ]]&gt;65,Sheet1[[#This Row],[Attendance ]]&lt;75),"Yes","No")</f>
        <v>No</v>
      </c>
      <c r="J193" t="str">
        <f>IF(Sheet1[[#This Row],[Attendance ]]&lt;65,"Yes","No")</f>
        <v>No</v>
      </c>
    </row>
    <row r="194" spans="1:12" x14ac:dyDescent="0.35">
      <c r="A194" t="s">
        <v>235</v>
      </c>
      <c r="B194" t="s">
        <v>25</v>
      </c>
      <c r="C194" t="s">
        <v>13</v>
      </c>
      <c r="D194">
        <v>73.94</v>
      </c>
      <c r="E194" t="s">
        <v>5</v>
      </c>
      <c r="F194">
        <v>6.7</v>
      </c>
      <c r="G194" t="s">
        <v>26</v>
      </c>
      <c r="H194" t="str">
        <f t="shared" ref="H194:H257" si="27">IF(E194="Pass","Passed",
IF(G194="1st Year","M1",
IF(G194="2nd Year","DBMS",
IF(G194="3rd Year","Machine Learning",
IF(G194="4th Year","Deep Learning","")))))</f>
        <v>Passed</v>
      </c>
      <c r="I194" t="str">
        <f>IF(AND(Sheet1[[#This Row],[Attendance ]]&gt;65,Sheet1[[#This Row],[Attendance ]]&lt;75),"Yes","No")</f>
        <v>Yes</v>
      </c>
      <c r="J194" t="str">
        <f>IF(Sheet1[[#This Row],[Attendance ]]&lt;65,"Yes","No")</f>
        <v>No</v>
      </c>
      <c r="K194" t="str">
        <f>CHOOSE(MOD(ROW()-2,8)+1,
"Kadapa",
"Ananthapur",
"Rayachoti",
"Nellore",
"Chittoor",
"Madanapalli",
"Rajampeta",
"Tirupati")</f>
        <v>Kadapa</v>
      </c>
      <c r="L194" t="str">
        <f>IF(AND(G192="4th Year",E192="Pass",F192&gt;=7),"Yes","No")</f>
        <v>No</v>
      </c>
    </row>
    <row r="195" spans="1:12" hidden="1" x14ac:dyDescent="0.35">
      <c r="A195" t="s">
        <v>236</v>
      </c>
      <c r="B195" t="s">
        <v>63</v>
      </c>
      <c r="C195" t="s">
        <v>35</v>
      </c>
      <c r="D195">
        <v>96.18</v>
      </c>
      <c r="E195" t="s">
        <v>5</v>
      </c>
      <c r="F195">
        <v>5.35</v>
      </c>
      <c r="G195" t="s">
        <v>26</v>
      </c>
      <c r="H195" t="str">
        <f t="shared" si="27"/>
        <v>Passed</v>
      </c>
      <c r="I195" t="str">
        <f>IF(AND(Sheet1[[#This Row],[Attendance ]]&gt;65,Sheet1[[#This Row],[Attendance ]]&lt;75),"Yes","No")</f>
        <v>No</v>
      </c>
      <c r="J195" t="str">
        <f>IF(Sheet1[[#This Row],[Attendance ]]&lt;65,"Yes","No")</f>
        <v>No</v>
      </c>
    </row>
    <row r="196" spans="1:12" hidden="1" x14ac:dyDescent="0.35">
      <c r="A196" t="s">
        <v>237</v>
      </c>
      <c r="B196" t="s">
        <v>22</v>
      </c>
      <c r="C196" t="s">
        <v>13</v>
      </c>
      <c r="D196">
        <v>61.15</v>
      </c>
      <c r="E196" t="s">
        <v>5</v>
      </c>
      <c r="F196">
        <v>6.61</v>
      </c>
      <c r="G196" t="s">
        <v>28</v>
      </c>
      <c r="H196" t="str">
        <f t="shared" si="27"/>
        <v>Passed</v>
      </c>
      <c r="I196" t="str">
        <f>IF(AND(Sheet1[[#This Row],[Attendance ]]&gt;65,Sheet1[[#This Row],[Attendance ]]&lt;75),"Yes","No")</f>
        <v>No</v>
      </c>
      <c r="J196" t="str">
        <f>IF(Sheet1[[#This Row],[Attendance ]]&lt;65,"Yes","No")</f>
        <v>Yes</v>
      </c>
    </row>
    <row r="197" spans="1:12" hidden="1" x14ac:dyDescent="0.35">
      <c r="A197" t="s">
        <v>238</v>
      </c>
      <c r="B197" t="s">
        <v>58</v>
      </c>
      <c r="C197" t="s">
        <v>35</v>
      </c>
      <c r="D197">
        <v>95.75</v>
      </c>
      <c r="E197" t="s">
        <v>5</v>
      </c>
      <c r="F197">
        <v>9.39</v>
      </c>
      <c r="G197" t="s">
        <v>28</v>
      </c>
      <c r="H197" t="str">
        <f t="shared" si="27"/>
        <v>Passed</v>
      </c>
      <c r="I197" t="str">
        <f>IF(AND(Sheet1[[#This Row],[Attendance ]]&gt;65,Sheet1[[#This Row],[Attendance ]]&lt;75),"Yes","No")</f>
        <v>No</v>
      </c>
      <c r="J197" t="str">
        <f>IF(Sheet1[[#This Row],[Attendance ]]&lt;65,"Yes","No")</f>
        <v>No</v>
      </c>
    </row>
    <row r="198" spans="1:12" hidden="1" x14ac:dyDescent="0.35">
      <c r="A198" t="s">
        <v>239</v>
      </c>
      <c r="B198" t="s">
        <v>22</v>
      </c>
      <c r="C198" t="s">
        <v>23</v>
      </c>
      <c r="D198">
        <v>97.89</v>
      </c>
      <c r="E198" t="s">
        <v>5</v>
      </c>
      <c r="F198">
        <v>6.35</v>
      </c>
      <c r="G198" t="s">
        <v>28</v>
      </c>
      <c r="H198" t="str">
        <f t="shared" si="27"/>
        <v>Passed</v>
      </c>
      <c r="I198" t="str">
        <f>IF(AND(Sheet1[[#This Row],[Attendance ]]&gt;65,Sheet1[[#This Row],[Attendance ]]&lt;75),"Yes","No")</f>
        <v>No</v>
      </c>
      <c r="J198" t="str">
        <f>IF(Sheet1[[#This Row],[Attendance ]]&lt;65,"Yes","No")</f>
        <v>No</v>
      </c>
    </row>
    <row r="199" spans="1:12" hidden="1" x14ac:dyDescent="0.35">
      <c r="A199" t="s">
        <v>240</v>
      </c>
      <c r="B199" t="s">
        <v>3</v>
      </c>
      <c r="C199" t="s">
        <v>20</v>
      </c>
      <c r="D199">
        <v>87.05</v>
      </c>
      <c r="E199" t="s">
        <v>5</v>
      </c>
      <c r="F199">
        <v>6.39</v>
      </c>
      <c r="G199" t="s">
        <v>11</v>
      </c>
      <c r="H199" t="str">
        <f t="shared" si="27"/>
        <v>Passed</v>
      </c>
      <c r="I199" t="str">
        <f>IF(AND(Sheet1[[#This Row],[Attendance ]]&gt;65,Sheet1[[#This Row],[Attendance ]]&lt;75),"Yes","No")</f>
        <v>No</v>
      </c>
      <c r="J199" t="str">
        <f>IF(Sheet1[[#This Row],[Attendance ]]&lt;65,"Yes","No")</f>
        <v>No</v>
      </c>
    </row>
    <row r="200" spans="1:12" hidden="1" x14ac:dyDescent="0.35">
      <c r="A200" t="s">
        <v>241</v>
      </c>
      <c r="B200" t="s">
        <v>17</v>
      </c>
      <c r="C200" t="s">
        <v>9</v>
      </c>
      <c r="D200">
        <v>78.19</v>
      </c>
      <c r="E200" t="s">
        <v>5</v>
      </c>
      <c r="F200">
        <v>6.62</v>
      </c>
      <c r="G200" t="s">
        <v>26</v>
      </c>
      <c r="H200" t="str">
        <f t="shared" si="27"/>
        <v>Passed</v>
      </c>
      <c r="I200" t="str">
        <f>IF(AND(Sheet1[[#This Row],[Attendance ]]&gt;65,Sheet1[[#This Row],[Attendance ]]&lt;75),"Yes","No")</f>
        <v>No</v>
      </c>
      <c r="J200" t="str">
        <f>IF(Sheet1[[#This Row],[Attendance ]]&lt;65,"Yes","No")</f>
        <v>No</v>
      </c>
    </row>
    <row r="201" spans="1:12" hidden="1" x14ac:dyDescent="0.35">
      <c r="A201" t="s">
        <v>242</v>
      </c>
      <c r="B201" t="s">
        <v>110</v>
      </c>
      <c r="C201" t="s">
        <v>13</v>
      </c>
      <c r="D201">
        <v>79.930000000000007</v>
      </c>
      <c r="E201" t="s">
        <v>5</v>
      </c>
      <c r="F201">
        <v>8.1300000000000008</v>
      </c>
      <c r="G201" t="s">
        <v>26</v>
      </c>
      <c r="H201" t="str">
        <f t="shared" si="27"/>
        <v>Passed</v>
      </c>
      <c r="I201" t="str">
        <f>IF(AND(Sheet1[[#This Row],[Attendance ]]&gt;65,Sheet1[[#This Row],[Attendance ]]&lt;75),"Yes","No")</f>
        <v>No</v>
      </c>
      <c r="J201" t="str">
        <f>IF(Sheet1[[#This Row],[Attendance ]]&lt;65,"Yes","No")</f>
        <v>No</v>
      </c>
    </row>
    <row r="202" spans="1:12" hidden="1" x14ac:dyDescent="0.35">
      <c r="A202" t="s">
        <v>243</v>
      </c>
      <c r="B202" t="s">
        <v>39</v>
      </c>
      <c r="C202" t="s">
        <v>23</v>
      </c>
      <c r="D202">
        <v>76.19</v>
      </c>
      <c r="E202" t="s">
        <v>5</v>
      </c>
      <c r="F202">
        <v>9.68</v>
      </c>
      <c r="G202" t="s">
        <v>28</v>
      </c>
      <c r="H202" t="str">
        <f t="shared" si="27"/>
        <v>Passed</v>
      </c>
      <c r="I202" t="str">
        <f>IF(AND(Sheet1[[#This Row],[Attendance ]]&gt;65,Sheet1[[#This Row],[Attendance ]]&lt;75),"Yes","No")</f>
        <v>No</v>
      </c>
      <c r="J202" t="str">
        <f>IF(Sheet1[[#This Row],[Attendance ]]&lt;65,"Yes","No")</f>
        <v>No</v>
      </c>
    </row>
    <row r="203" spans="1:12" hidden="1" x14ac:dyDescent="0.35">
      <c r="A203" t="s">
        <v>244</v>
      </c>
      <c r="B203" t="s">
        <v>17</v>
      </c>
      <c r="C203" t="s">
        <v>23</v>
      </c>
      <c r="D203">
        <v>82.89</v>
      </c>
      <c r="E203" t="s">
        <v>5</v>
      </c>
      <c r="F203">
        <v>8.66</v>
      </c>
      <c r="G203" t="s">
        <v>26</v>
      </c>
      <c r="H203" t="str">
        <f t="shared" si="27"/>
        <v>Passed</v>
      </c>
      <c r="I203" t="str">
        <f>IF(AND(Sheet1[[#This Row],[Attendance ]]&gt;65,Sheet1[[#This Row],[Attendance ]]&lt;75),"Yes","No")</f>
        <v>No</v>
      </c>
      <c r="J203" t="str">
        <f>IF(Sheet1[[#This Row],[Attendance ]]&lt;65,"Yes","No")</f>
        <v>No</v>
      </c>
    </row>
    <row r="204" spans="1:12" hidden="1" x14ac:dyDescent="0.35">
      <c r="A204" t="s">
        <v>245</v>
      </c>
      <c r="B204" t="s">
        <v>8</v>
      </c>
      <c r="C204" t="s">
        <v>23</v>
      </c>
      <c r="D204">
        <v>80.650000000000006</v>
      </c>
      <c r="E204" t="s">
        <v>5</v>
      </c>
      <c r="F204">
        <v>9.0500000000000007</v>
      </c>
      <c r="G204" t="s">
        <v>6</v>
      </c>
      <c r="H204" t="str">
        <f t="shared" si="27"/>
        <v>Passed</v>
      </c>
      <c r="I204" t="str">
        <f>IF(AND(Sheet1[[#This Row],[Attendance ]]&gt;65,Sheet1[[#This Row],[Attendance ]]&lt;75),"Yes","No")</f>
        <v>No</v>
      </c>
      <c r="J204" t="str">
        <f>IF(Sheet1[[#This Row],[Attendance ]]&lt;65,"Yes","No")</f>
        <v>No</v>
      </c>
    </row>
    <row r="205" spans="1:12" hidden="1" x14ac:dyDescent="0.35">
      <c r="A205" t="s">
        <v>246</v>
      </c>
      <c r="B205" t="s">
        <v>70</v>
      </c>
      <c r="C205" t="s">
        <v>13</v>
      </c>
      <c r="D205">
        <v>61.16</v>
      </c>
      <c r="E205" t="s">
        <v>5</v>
      </c>
      <c r="F205">
        <v>5.98</v>
      </c>
      <c r="G205" t="s">
        <v>28</v>
      </c>
      <c r="H205" t="str">
        <f t="shared" si="27"/>
        <v>Passed</v>
      </c>
      <c r="I205" t="str">
        <f>IF(AND(Sheet1[[#This Row],[Attendance ]]&gt;65,Sheet1[[#This Row],[Attendance ]]&lt;75),"Yes","No")</f>
        <v>No</v>
      </c>
      <c r="J205" t="str">
        <f>IF(Sheet1[[#This Row],[Attendance ]]&lt;65,"Yes","No")</f>
        <v>Yes</v>
      </c>
    </row>
    <row r="206" spans="1:12" x14ac:dyDescent="0.35">
      <c r="A206" t="s">
        <v>247</v>
      </c>
      <c r="B206" t="s">
        <v>43</v>
      </c>
      <c r="C206" t="s">
        <v>13</v>
      </c>
      <c r="D206">
        <v>72.150000000000006</v>
      </c>
      <c r="E206" t="s">
        <v>5</v>
      </c>
      <c r="F206">
        <v>6.3</v>
      </c>
      <c r="G206" t="s">
        <v>26</v>
      </c>
      <c r="H206" t="str">
        <f t="shared" si="27"/>
        <v>Passed</v>
      </c>
      <c r="I206" t="str">
        <f>IF(AND(Sheet1[[#This Row],[Attendance ]]&gt;65,Sheet1[[#This Row],[Attendance ]]&lt;75),"Yes","No")</f>
        <v>Yes</v>
      </c>
      <c r="J206" t="str">
        <f>IF(Sheet1[[#This Row],[Attendance ]]&lt;65,"Yes","No")</f>
        <v>No</v>
      </c>
      <c r="K206" t="str">
        <f>CHOOSE(MOD(ROW()-2,8)+1,
"Kadapa",
"Ananthapur",
"Rayachoti",
"Nellore",
"Chittoor",
"Madanapalli",
"Rajampeta",
"Tirupati")</f>
        <v>Chittoor</v>
      </c>
      <c r="L206" t="str">
        <f>IF(AND(G204="4th Year",E204="Pass",F204&gt;=7),"Yes","No")</f>
        <v>No</v>
      </c>
    </row>
    <row r="207" spans="1:12" hidden="1" x14ac:dyDescent="0.35">
      <c r="A207" t="s">
        <v>248</v>
      </c>
      <c r="B207" t="s">
        <v>58</v>
      </c>
      <c r="C207" t="s">
        <v>4</v>
      </c>
      <c r="D207">
        <v>80.819999999999993</v>
      </c>
      <c r="E207" t="s">
        <v>5</v>
      </c>
      <c r="F207">
        <v>6.56</v>
      </c>
      <c r="G207" t="s">
        <v>11</v>
      </c>
      <c r="H207" t="str">
        <f t="shared" si="27"/>
        <v>Passed</v>
      </c>
      <c r="I207" t="str">
        <f>IF(AND(Sheet1[[#This Row],[Attendance ]]&gt;65,Sheet1[[#This Row],[Attendance ]]&lt;75),"Yes","No")</f>
        <v>No</v>
      </c>
      <c r="J207" t="str">
        <f>IF(Sheet1[[#This Row],[Attendance ]]&lt;65,"Yes","No")</f>
        <v>No</v>
      </c>
    </row>
    <row r="208" spans="1:12" hidden="1" x14ac:dyDescent="0.35">
      <c r="A208" t="s">
        <v>249</v>
      </c>
      <c r="B208" t="s">
        <v>25</v>
      </c>
      <c r="C208" t="s">
        <v>23</v>
      </c>
      <c r="D208">
        <v>97.05</v>
      </c>
      <c r="E208" t="s">
        <v>5</v>
      </c>
      <c r="F208">
        <v>7.16</v>
      </c>
      <c r="G208" t="s">
        <v>11</v>
      </c>
      <c r="H208" t="str">
        <f t="shared" si="27"/>
        <v>Passed</v>
      </c>
      <c r="I208" t="str">
        <f>IF(AND(Sheet1[[#This Row],[Attendance ]]&gt;65,Sheet1[[#This Row],[Attendance ]]&lt;75),"Yes","No")</f>
        <v>No</v>
      </c>
      <c r="J208" t="str">
        <f>IF(Sheet1[[#This Row],[Attendance ]]&lt;65,"Yes","No")</f>
        <v>No</v>
      </c>
    </row>
    <row r="209" spans="1:12" hidden="1" x14ac:dyDescent="0.35">
      <c r="A209" t="s">
        <v>250</v>
      </c>
      <c r="B209" t="s">
        <v>25</v>
      </c>
      <c r="C209" t="s">
        <v>9</v>
      </c>
      <c r="D209">
        <v>91</v>
      </c>
      <c r="E209" t="s">
        <v>5</v>
      </c>
      <c r="F209">
        <v>9.56</v>
      </c>
      <c r="G209" t="s">
        <v>28</v>
      </c>
      <c r="H209" t="str">
        <f t="shared" si="27"/>
        <v>Passed</v>
      </c>
      <c r="I209" t="str">
        <f>IF(AND(Sheet1[[#This Row],[Attendance ]]&gt;65,Sheet1[[#This Row],[Attendance ]]&lt;75),"Yes","No")</f>
        <v>No</v>
      </c>
      <c r="J209" t="str">
        <f>IF(Sheet1[[#This Row],[Attendance ]]&lt;65,"Yes","No")</f>
        <v>No</v>
      </c>
    </row>
    <row r="210" spans="1:12" hidden="1" x14ac:dyDescent="0.35">
      <c r="A210" t="s">
        <v>251</v>
      </c>
      <c r="B210" t="s">
        <v>164</v>
      </c>
      <c r="C210" t="s">
        <v>20</v>
      </c>
      <c r="D210">
        <v>85.34</v>
      </c>
      <c r="E210" t="s">
        <v>5</v>
      </c>
      <c r="F210">
        <v>7.62</v>
      </c>
      <c r="G210" t="s">
        <v>26</v>
      </c>
      <c r="H210" t="str">
        <f t="shared" si="27"/>
        <v>Passed</v>
      </c>
      <c r="I210" t="str">
        <f>IF(AND(Sheet1[[#This Row],[Attendance ]]&gt;65,Sheet1[[#This Row],[Attendance ]]&lt;75),"Yes","No")</f>
        <v>No</v>
      </c>
      <c r="J210" t="str">
        <f>IF(Sheet1[[#This Row],[Attendance ]]&lt;65,"Yes","No")</f>
        <v>No</v>
      </c>
    </row>
    <row r="211" spans="1:12" x14ac:dyDescent="0.35">
      <c r="A211" t="s">
        <v>252</v>
      </c>
      <c r="B211" t="s">
        <v>25</v>
      </c>
      <c r="C211" t="s">
        <v>13</v>
      </c>
      <c r="D211">
        <v>72.209999999999994</v>
      </c>
      <c r="E211" t="s">
        <v>5</v>
      </c>
      <c r="F211">
        <v>8.7100000000000009</v>
      </c>
      <c r="G211" t="s">
        <v>11</v>
      </c>
      <c r="H211" t="str">
        <f t="shared" si="27"/>
        <v>Passed</v>
      </c>
      <c r="I211" t="str">
        <f>IF(AND(Sheet1[[#This Row],[Attendance ]]&gt;65,Sheet1[[#This Row],[Attendance ]]&lt;75),"Yes","No")</f>
        <v>Yes</v>
      </c>
      <c r="J211" t="str">
        <f>IF(Sheet1[[#This Row],[Attendance ]]&lt;65,"Yes","No")</f>
        <v>No</v>
      </c>
      <c r="K211" t="str">
        <f>CHOOSE(MOD(ROW()-2,8)+1,
"Kadapa",
"Ananthapur",
"Rayachoti",
"Nellore",
"Chittoor",
"Madanapalli",
"Rajampeta",
"Tirupati")</f>
        <v>Ananthapur</v>
      </c>
      <c r="L211" t="str">
        <f>IF(AND(G209="4th Year",E209="Pass",F209&gt;=7),"Yes","No")</f>
        <v>No</v>
      </c>
    </row>
    <row r="212" spans="1:12" hidden="1" x14ac:dyDescent="0.35">
      <c r="A212" t="s">
        <v>253</v>
      </c>
      <c r="B212" t="s">
        <v>17</v>
      </c>
      <c r="C212" t="s">
        <v>20</v>
      </c>
      <c r="D212">
        <v>78.930000000000007</v>
      </c>
      <c r="E212" t="s">
        <v>5</v>
      </c>
      <c r="F212">
        <v>7.87</v>
      </c>
      <c r="G212" t="s">
        <v>11</v>
      </c>
      <c r="H212" t="str">
        <f t="shared" si="27"/>
        <v>Passed</v>
      </c>
      <c r="I212" t="str">
        <f>IF(AND(Sheet1[[#This Row],[Attendance ]]&gt;65,Sheet1[[#This Row],[Attendance ]]&lt;75),"Yes","No")</f>
        <v>No</v>
      </c>
      <c r="J212" t="str">
        <f>IF(Sheet1[[#This Row],[Attendance ]]&lt;65,"Yes","No")</f>
        <v>No</v>
      </c>
    </row>
    <row r="213" spans="1:12" hidden="1" x14ac:dyDescent="0.35">
      <c r="A213" t="s">
        <v>254</v>
      </c>
      <c r="B213" t="s">
        <v>34</v>
      </c>
      <c r="C213" t="s">
        <v>23</v>
      </c>
      <c r="D213">
        <v>90.41</v>
      </c>
      <c r="E213" t="s">
        <v>5</v>
      </c>
      <c r="F213">
        <v>7.2</v>
      </c>
      <c r="G213" t="s">
        <v>26</v>
      </c>
      <c r="H213" t="str">
        <f t="shared" si="27"/>
        <v>Passed</v>
      </c>
      <c r="I213" t="str">
        <f>IF(AND(Sheet1[[#This Row],[Attendance ]]&gt;65,Sheet1[[#This Row],[Attendance ]]&lt;75),"Yes","No")</f>
        <v>No</v>
      </c>
      <c r="J213" t="str">
        <f>IF(Sheet1[[#This Row],[Attendance ]]&lt;65,"Yes","No")</f>
        <v>No</v>
      </c>
    </row>
    <row r="214" spans="1:12" hidden="1" x14ac:dyDescent="0.35">
      <c r="A214" t="s">
        <v>255</v>
      </c>
      <c r="B214" t="s">
        <v>43</v>
      </c>
      <c r="C214" t="s">
        <v>9</v>
      </c>
      <c r="D214">
        <v>79.75</v>
      </c>
      <c r="E214" t="s">
        <v>5</v>
      </c>
      <c r="F214">
        <v>7.9</v>
      </c>
      <c r="G214" t="s">
        <v>6</v>
      </c>
      <c r="H214" t="str">
        <f t="shared" si="27"/>
        <v>Passed</v>
      </c>
      <c r="I214" t="str">
        <f>IF(AND(Sheet1[[#This Row],[Attendance ]]&gt;65,Sheet1[[#This Row],[Attendance ]]&lt;75),"Yes","No")</f>
        <v>No</v>
      </c>
      <c r="J214" t="str">
        <f>IF(Sheet1[[#This Row],[Attendance ]]&lt;65,"Yes","No")</f>
        <v>No</v>
      </c>
    </row>
    <row r="215" spans="1:12" hidden="1" x14ac:dyDescent="0.35">
      <c r="A215" t="s">
        <v>256</v>
      </c>
      <c r="B215" t="s">
        <v>39</v>
      </c>
      <c r="C215" t="s">
        <v>13</v>
      </c>
      <c r="D215">
        <v>97.72</v>
      </c>
      <c r="E215" t="s">
        <v>5</v>
      </c>
      <c r="F215">
        <v>7.12</v>
      </c>
      <c r="G215" t="s">
        <v>6</v>
      </c>
      <c r="H215" t="str">
        <f t="shared" si="27"/>
        <v>Passed</v>
      </c>
      <c r="I215" t="str">
        <f>IF(AND(Sheet1[[#This Row],[Attendance ]]&gt;65,Sheet1[[#This Row],[Attendance ]]&lt;75),"Yes","No")</f>
        <v>No</v>
      </c>
      <c r="J215" t="str">
        <f>IF(Sheet1[[#This Row],[Attendance ]]&lt;65,"Yes","No")</f>
        <v>No</v>
      </c>
    </row>
    <row r="216" spans="1:12" hidden="1" x14ac:dyDescent="0.35">
      <c r="A216" t="s">
        <v>257</v>
      </c>
      <c r="B216" t="s">
        <v>88</v>
      </c>
      <c r="C216" t="s">
        <v>9</v>
      </c>
      <c r="D216">
        <v>60.89</v>
      </c>
      <c r="E216" t="s">
        <v>5</v>
      </c>
      <c r="F216">
        <v>8.6300000000000008</v>
      </c>
      <c r="G216" t="s">
        <v>28</v>
      </c>
      <c r="H216" t="str">
        <f t="shared" si="27"/>
        <v>Passed</v>
      </c>
      <c r="I216" t="str">
        <f>IF(AND(Sheet1[[#This Row],[Attendance ]]&gt;65,Sheet1[[#This Row],[Attendance ]]&lt;75),"Yes","No")</f>
        <v>No</v>
      </c>
      <c r="J216" t="str">
        <f>IF(Sheet1[[#This Row],[Attendance ]]&lt;65,"Yes","No")</f>
        <v>Yes</v>
      </c>
    </row>
    <row r="217" spans="1:12" hidden="1" x14ac:dyDescent="0.35">
      <c r="A217" t="s">
        <v>258</v>
      </c>
      <c r="B217" t="s">
        <v>8</v>
      </c>
      <c r="C217" t="s">
        <v>4</v>
      </c>
      <c r="D217">
        <v>62.51</v>
      </c>
      <c r="E217" t="s">
        <v>5</v>
      </c>
      <c r="F217">
        <v>5.93</v>
      </c>
      <c r="G217" t="s">
        <v>6</v>
      </c>
      <c r="H217" t="str">
        <f t="shared" si="27"/>
        <v>Passed</v>
      </c>
      <c r="I217" t="str">
        <f>IF(AND(Sheet1[[#This Row],[Attendance ]]&gt;65,Sheet1[[#This Row],[Attendance ]]&lt;75),"Yes","No")</f>
        <v>No</v>
      </c>
      <c r="J217" t="str">
        <f>IF(Sheet1[[#This Row],[Attendance ]]&lt;65,"Yes","No")</f>
        <v>Yes</v>
      </c>
    </row>
    <row r="218" spans="1:12" hidden="1" x14ac:dyDescent="0.35">
      <c r="A218" t="s">
        <v>259</v>
      </c>
      <c r="B218" t="s">
        <v>103</v>
      </c>
      <c r="C218" t="s">
        <v>23</v>
      </c>
      <c r="D218">
        <v>82.98</v>
      </c>
      <c r="E218" t="s">
        <v>5</v>
      </c>
      <c r="F218">
        <v>5.67</v>
      </c>
      <c r="G218" t="s">
        <v>28</v>
      </c>
      <c r="H218" t="str">
        <f t="shared" si="27"/>
        <v>Passed</v>
      </c>
      <c r="I218" t="str">
        <f>IF(AND(Sheet1[[#This Row],[Attendance ]]&gt;65,Sheet1[[#This Row],[Attendance ]]&lt;75),"Yes","No")</f>
        <v>No</v>
      </c>
      <c r="J218" t="str">
        <f>IF(Sheet1[[#This Row],[Attendance ]]&lt;65,"Yes","No")</f>
        <v>No</v>
      </c>
    </row>
    <row r="219" spans="1:12" hidden="1" x14ac:dyDescent="0.35">
      <c r="A219" t="s">
        <v>260</v>
      </c>
      <c r="B219" t="s">
        <v>34</v>
      </c>
      <c r="C219" t="s">
        <v>4</v>
      </c>
      <c r="D219">
        <v>77.400000000000006</v>
      </c>
      <c r="E219" t="s">
        <v>10</v>
      </c>
      <c r="F219">
        <v>9.31</v>
      </c>
      <c r="G219" t="s">
        <v>6</v>
      </c>
      <c r="H219" t="str">
        <f t="shared" si="27"/>
        <v>DBMS</v>
      </c>
      <c r="I219" t="str">
        <f>IF(AND(Sheet1[[#This Row],[Attendance ]]&gt;65,Sheet1[[#This Row],[Attendance ]]&lt;75),"Yes","No")</f>
        <v>No</v>
      </c>
      <c r="J219" t="str">
        <f>IF(Sheet1[[#This Row],[Attendance ]]&lt;65,"Yes","No")</f>
        <v>No</v>
      </c>
    </row>
    <row r="220" spans="1:12" hidden="1" x14ac:dyDescent="0.35">
      <c r="A220" t="s">
        <v>261</v>
      </c>
      <c r="B220" t="s">
        <v>43</v>
      </c>
      <c r="C220" t="s">
        <v>23</v>
      </c>
      <c r="D220">
        <v>61.35</v>
      </c>
      <c r="E220" t="s">
        <v>10</v>
      </c>
      <c r="F220">
        <v>9.1199999999999992</v>
      </c>
      <c r="G220" t="s">
        <v>11</v>
      </c>
      <c r="H220" t="str">
        <f t="shared" si="27"/>
        <v>M1</v>
      </c>
      <c r="I220" t="str">
        <f>IF(AND(Sheet1[[#This Row],[Attendance ]]&gt;65,Sheet1[[#This Row],[Attendance ]]&lt;75),"Yes","No")</f>
        <v>No</v>
      </c>
      <c r="J220" t="str">
        <f>IF(Sheet1[[#This Row],[Attendance ]]&lt;65,"Yes","No")</f>
        <v>Yes</v>
      </c>
    </row>
    <row r="221" spans="1:12" hidden="1" x14ac:dyDescent="0.35">
      <c r="A221" t="s">
        <v>262</v>
      </c>
      <c r="B221" t="s">
        <v>8</v>
      </c>
      <c r="C221" t="s">
        <v>23</v>
      </c>
      <c r="D221">
        <v>79.33</v>
      </c>
      <c r="E221" t="s">
        <v>5</v>
      </c>
      <c r="F221">
        <v>8.5500000000000007</v>
      </c>
      <c r="G221" t="s">
        <v>26</v>
      </c>
      <c r="H221" t="str">
        <f t="shared" si="27"/>
        <v>Passed</v>
      </c>
      <c r="I221" t="str">
        <f>IF(AND(Sheet1[[#This Row],[Attendance ]]&gt;65,Sheet1[[#This Row],[Attendance ]]&lt;75),"Yes","No")</f>
        <v>No</v>
      </c>
      <c r="J221" t="str">
        <f>IF(Sheet1[[#This Row],[Attendance ]]&lt;65,"Yes","No")</f>
        <v>No</v>
      </c>
    </row>
    <row r="222" spans="1:12" hidden="1" x14ac:dyDescent="0.35">
      <c r="A222" t="s">
        <v>263</v>
      </c>
      <c r="B222" t="s">
        <v>149</v>
      </c>
      <c r="C222" t="s">
        <v>23</v>
      </c>
      <c r="D222">
        <v>62.79</v>
      </c>
      <c r="E222" t="s">
        <v>5</v>
      </c>
      <c r="F222">
        <v>5.56</v>
      </c>
      <c r="G222" t="s">
        <v>28</v>
      </c>
      <c r="H222" t="str">
        <f t="shared" si="27"/>
        <v>Passed</v>
      </c>
      <c r="I222" t="str">
        <f>IF(AND(Sheet1[[#This Row],[Attendance ]]&gt;65,Sheet1[[#This Row],[Attendance ]]&lt;75),"Yes","No")</f>
        <v>No</v>
      </c>
      <c r="J222" t="str">
        <f>IF(Sheet1[[#This Row],[Attendance ]]&lt;65,"Yes","No")</f>
        <v>Yes</v>
      </c>
    </row>
    <row r="223" spans="1:12" x14ac:dyDescent="0.35">
      <c r="A223" t="s">
        <v>264</v>
      </c>
      <c r="B223" t="s">
        <v>43</v>
      </c>
      <c r="C223" t="s">
        <v>13</v>
      </c>
      <c r="D223">
        <v>71.23</v>
      </c>
      <c r="E223" t="s">
        <v>10</v>
      </c>
      <c r="F223">
        <v>9.65</v>
      </c>
      <c r="G223" t="s">
        <v>28</v>
      </c>
      <c r="H223" t="str">
        <f t="shared" si="27"/>
        <v>Machine Learning</v>
      </c>
      <c r="I223" t="str">
        <f>IF(AND(Sheet1[[#This Row],[Attendance ]]&gt;65,Sheet1[[#This Row],[Attendance ]]&lt;75),"Yes","No")</f>
        <v>Yes</v>
      </c>
      <c r="J223" t="str">
        <f>IF(Sheet1[[#This Row],[Attendance ]]&lt;65,"Yes","No")</f>
        <v>No</v>
      </c>
      <c r="K223" t="str">
        <f>CHOOSE(MOD(ROW()-2,8)+1,
"Kadapa",
"Ananthapur",
"Rayachoti",
"Nellore",
"Chittoor",
"Madanapalli",
"Rajampeta",
"Tirupati")</f>
        <v>Madanapalli</v>
      </c>
      <c r="L223" t="str">
        <f>IF(AND(G221="4th Year",E221="Pass",F221&gt;=7),"Yes","No")</f>
        <v>Yes</v>
      </c>
    </row>
    <row r="224" spans="1:12" hidden="1" x14ac:dyDescent="0.35">
      <c r="A224" t="s">
        <v>265</v>
      </c>
      <c r="B224" t="s">
        <v>39</v>
      </c>
      <c r="C224" t="s">
        <v>20</v>
      </c>
      <c r="D224">
        <v>95.93</v>
      </c>
      <c r="E224" t="s">
        <v>5</v>
      </c>
      <c r="F224">
        <v>6.29</v>
      </c>
      <c r="G224" t="s">
        <v>26</v>
      </c>
      <c r="H224" t="str">
        <f t="shared" si="27"/>
        <v>Passed</v>
      </c>
      <c r="I224" t="str">
        <f>IF(AND(Sheet1[[#This Row],[Attendance ]]&gt;65,Sheet1[[#This Row],[Attendance ]]&lt;75),"Yes","No")</f>
        <v>No</v>
      </c>
      <c r="J224" t="str">
        <f>IF(Sheet1[[#This Row],[Attendance ]]&lt;65,"Yes","No")</f>
        <v>No</v>
      </c>
    </row>
    <row r="225" spans="1:12" x14ac:dyDescent="0.35">
      <c r="A225" t="s">
        <v>266</v>
      </c>
      <c r="B225" t="s">
        <v>19</v>
      </c>
      <c r="C225" t="s">
        <v>20</v>
      </c>
      <c r="D225">
        <v>69.05</v>
      </c>
      <c r="E225" t="s">
        <v>5</v>
      </c>
      <c r="F225">
        <v>7.73</v>
      </c>
      <c r="G225" t="s">
        <v>6</v>
      </c>
      <c r="H225" t="str">
        <f t="shared" si="27"/>
        <v>Passed</v>
      </c>
      <c r="I225" t="str">
        <f>IF(AND(Sheet1[[#This Row],[Attendance ]]&gt;65,Sheet1[[#This Row],[Attendance ]]&lt;75),"Yes","No")</f>
        <v>Yes</v>
      </c>
      <c r="J225" t="str">
        <f>IF(Sheet1[[#This Row],[Attendance ]]&lt;65,"Yes","No")</f>
        <v>No</v>
      </c>
      <c r="K225" t="str">
        <f t="shared" ref="K225:K226" si="28">CHOOSE(MOD(ROW()-2,8)+1,
"Kadapa",
"Ananthapur",
"Rayachoti",
"Nellore",
"Chittoor",
"Madanapalli",
"Rajampeta",
"Tirupati")</f>
        <v>Tirupati</v>
      </c>
      <c r="L225" t="str">
        <f t="shared" ref="L225:L226" si="29">IF(AND(G223="4th Year",E223="Pass",F223&gt;=7),"Yes","No")</f>
        <v>No</v>
      </c>
    </row>
    <row r="226" spans="1:12" x14ac:dyDescent="0.35">
      <c r="A226" t="s">
        <v>267</v>
      </c>
      <c r="B226" t="s">
        <v>51</v>
      </c>
      <c r="C226" t="s">
        <v>20</v>
      </c>
      <c r="D226">
        <v>72.510000000000005</v>
      </c>
      <c r="E226" t="s">
        <v>5</v>
      </c>
      <c r="F226">
        <v>6.44</v>
      </c>
      <c r="G226" t="s">
        <v>28</v>
      </c>
      <c r="H226" t="str">
        <f t="shared" si="27"/>
        <v>Passed</v>
      </c>
      <c r="I226" t="str">
        <f>IF(AND(Sheet1[[#This Row],[Attendance ]]&gt;65,Sheet1[[#This Row],[Attendance ]]&lt;75),"Yes","No")</f>
        <v>Yes</v>
      </c>
      <c r="J226" t="str">
        <f>IF(Sheet1[[#This Row],[Attendance ]]&lt;65,"Yes","No")</f>
        <v>No</v>
      </c>
      <c r="K226" t="str">
        <f t="shared" si="28"/>
        <v>Kadapa</v>
      </c>
      <c r="L226" t="str">
        <f t="shared" si="29"/>
        <v>No</v>
      </c>
    </row>
    <row r="227" spans="1:12" hidden="1" x14ac:dyDescent="0.35">
      <c r="A227" t="s">
        <v>268</v>
      </c>
      <c r="B227" t="s">
        <v>8</v>
      </c>
      <c r="C227" t="s">
        <v>20</v>
      </c>
      <c r="D227">
        <v>83.36</v>
      </c>
      <c r="E227" t="s">
        <v>5</v>
      </c>
      <c r="F227">
        <v>5.03</v>
      </c>
      <c r="G227" t="s">
        <v>6</v>
      </c>
      <c r="H227" t="str">
        <f t="shared" si="27"/>
        <v>Passed</v>
      </c>
      <c r="I227" t="str">
        <f>IF(AND(Sheet1[[#This Row],[Attendance ]]&gt;65,Sheet1[[#This Row],[Attendance ]]&lt;75),"Yes","No")</f>
        <v>No</v>
      </c>
      <c r="J227" t="str">
        <f>IF(Sheet1[[#This Row],[Attendance ]]&lt;65,"Yes","No")</f>
        <v>No</v>
      </c>
    </row>
    <row r="228" spans="1:12" hidden="1" x14ac:dyDescent="0.35">
      <c r="A228" t="s">
        <v>269</v>
      </c>
      <c r="B228" t="s">
        <v>107</v>
      </c>
      <c r="C228" t="s">
        <v>35</v>
      </c>
      <c r="D228">
        <v>79.83</v>
      </c>
      <c r="E228" t="s">
        <v>5</v>
      </c>
      <c r="F228">
        <v>8.42</v>
      </c>
      <c r="G228" t="s">
        <v>26</v>
      </c>
      <c r="H228" t="str">
        <f t="shared" si="27"/>
        <v>Passed</v>
      </c>
      <c r="I228" t="str">
        <f>IF(AND(Sheet1[[#This Row],[Attendance ]]&gt;65,Sheet1[[#This Row],[Attendance ]]&lt;75),"Yes","No")</f>
        <v>No</v>
      </c>
      <c r="J228" t="str">
        <f>IF(Sheet1[[#This Row],[Attendance ]]&lt;65,"Yes","No")</f>
        <v>No</v>
      </c>
    </row>
    <row r="229" spans="1:12" hidden="1" x14ac:dyDescent="0.35">
      <c r="A229" t="s">
        <v>270</v>
      </c>
      <c r="B229" t="s">
        <v>72</v>
      </c>
      <c r="C229" t="s">
        <v>4</v>
      </c>
      <c r="D229">
        <v>88.95</v>
      </c>
      <c r="E229" t="s">
        <v>5</v>
      </c>
      <c r="F229">
        <v>5.92</v>
      </c>
      <c r="G229" t="s">
        <v>26</v>
      </c>
      <c r="H229" t="str">
        <f t="shared" si="27"/>
        <v>Passed</v>
      </c>
      <c r="I229" t="str">
        <f>IF(AND(Sheet1[[#This Row],[Attendance ]]&gt;65,Sheet1[[#This Row],[Attendance ]]&lt;75),"Yes","No")</f>
        <v>No</v>
      </c>
      <c r="J229" t="str">
        <f>IF(Sheet1[[#This Row],[Attendance ]]&lt;65,"Yes","No")</f>
        <v>No</v>
      </c>
    </row>
    <row r="230" spans="1:12" hidden="1" x14ac:dyDescent="0.35">
      <c r="A230" t="s">
        <v>271</v>
      </c>
      <c r="B230" t="s">
        <v>32</v>
      </c>
      <c r="C230" t="s">
        <v>13</v>
      </c>
      <c r="D230">
        <v>99.6</v>
      </c>
      <c r="E230" t="s">
        <v>5</v>
      </c>
      <c r="F230">
        <v>9.4</v>
      </c>
      <c r="G230" t="s">
        <v>26</v>
      </c>
      <c r="H230" t="str">
        <f t="shared" si="27"/>
        <v>Passed</v>
      </c>
      <c r="I230" t="str">
        <f>IF(AND(Sheet1[[#This Row],[Attendance ]]&gt;65,Sheet1[[#This Row],[Attendance ]]&lt;75),"Yes","No")</f>
        <v>No</v>
      </c>
      <c r="J230" t="str">
        <f>IF(Sheet1[[#This Row],[Attendance ]]&lt;65,"Yes","No")</f>
        <v>No</v>
      </c>
    </row>
    <row r="231" spans="1:12" hidden="1" x14ac:dyDescent="0.35">
      <c r="A231" t="s">
        <v>272</v>
      </c>
      <c r="B231" t="s">
        <v>30</v>
      </c>
      <c r="C231" t="s">
        <v>13</v>
      </c>
      <c r="D231">
        <v>64.89</v>
      </c>
      <c r="E231" t="s">
        <v>5</v>
      </c>
      <c r="F231">
        <v>7.12</v>
      </c>
      <c r="G231" t="s">
        <v>11</v>
      </c>
      <c r="H231" t="str">
        <f t="shared" si="27"/>
        <v>Passed</v>
      </c>
      <c r="I231" t="str">
        <f>IF(AND(Sheet1[[#This Row],[Attendance ]]&gt;65,Sheet1[[#This Row],[Attendance ]]&lt;75),"Yes","No")</f>
        <v>No</v>
      </c>
      <c r="J231" t="str">
        <f>IF(Sheet1[[#This Row],[Attendance ]]&lt;65,"Yes","No")</f>
        <v>Yes</v>
      </c>
    </row>
    <row r="232" spans="1:12" hidden="1" x14ac:dyDescent="0.35">
      <c r="A232" t="s">
        <v>273</v>
      </c>
      <c r="B232" t="s">
        <v>63</v>
      </c>
      <c r="C232" t="s">
        <v>13</v>
      </c>
      <c r="D232">
        <v>75.239999999999995</v>
      </c>
      <c r="E232" t="s">
        <v>5</v>
      </c>
      <c r="F232">
        <v>8.52</v>
      </c>
      <c r="G232" t="s">
        <v>26</v>
      </c>
      <c r="H232" t="str">
        <f t="shared" si="27"/>
        <v>Passed</v>
      </c>
      <c r="I232" t="str">
        <f>IF(AND(Sheet1[[#This Row],[Attendance ]]&gt;65,Sheet1[[#This Row],[Attendance ]]&lt;75),"Yes","No")</f>
        <v>No</v>
      </c>
      <c r="J232" t="str">
        <f>IF(Sheet1[[#This Row],[Attendance ]]&lt;65,"Yes","No")</f>
        <v>No</v>
      </c>
    </row>
    <row r="233" spans="1:12" x14ac:dyDescent="0.35">
      <c r="A233" t="s">
        <v>274</v>
      </c>
      <c r="B233" t="s">
        <v>149</v>
      </c>
      <c r="C233" t="s">
        <v>4</v>
      </c>
      <c r="D233">
        <v>67.45</v>
      </c>
      <c r="E233" t="s">
        <v>10</v>
      </c>
      <c r="F233">
        <v>6.22</v>
      </c>
      <c r="G233" t="s">
        <v>28</v>
      </c>
      <c r="H233" t="str">
        <f t="shared" si="27"/>
        <v>Machine Learning</v>
      </c>
      <c r="I233" t="str">
        <f>IF(AND(Sheet1[[#This Row],[Attendance ]]&gt;65,Sheet1[[#This Row],[Attendance ]]&lt;75),"Yes","No")</f>
        <v>Yes</v>
      </c>
      <c r="J233" t="str">
        <f>IF(Sheet1[[#This Row],[Attendance ]]&lt;65,"Yes","No")</f>
        <v>No</v>
      </c>
      <c r="K233" t="str">
        <f t="shared" ref="K233:K234" si="30">CHOOSE(MOD(ROW()-2,8)+1,
"Kadapa",
"Ananthapur",
"Rayachoti",
"Nellore",
"Chittoor",
"Madanapalli",
"Rajampeta",
"Tirupati")</f>
        <v>Tirupati</v>
      </c>
      <c r="L233" t="str">
        <f t="shared" ref="L233:L234" si="31">IF(AND(G231="4th Year",E231="Pass",F231&gt;=7),"Yes","No")</f>
        <v>No</v>
      </c>
    </row>
    <row r="234" spans="1:12" x14ac:dyDescent="0.35">
      <c r="A234" t="s">
        <v>275</v>
      </c>
      <c r="B234" t="s">
        <v>70</v>
      </c>
      <c r="C234" t="s">
        <v>20</v>
      </c>
      <c r="D234">
        <v>70.5</v>
      </c>
      <c r="E234" t="s">
        <v>10</v>
      </c>
      <c r="F234">
        <v>7.97</v>
      </c>
      <c r="G234" t="s">
        <v>11</v>
      </c>
      <c r="H234" t="str">
        <f t="shared" si="27"/>
        <v>M1</v>
      </c>
      <c r="I234" t="str">
        <f>IF(AND(Sheet1[[#This Row],[Attendance ]]&gt;65,Sheet1[[#This Row],[Attendance ]]&lt;75),"Yes","No")</f>
        <v>Yes</v>
      </c>
      <c r="J234" t="str">
        <f>IF(Sheet1[[#This Row],[Attendance ]]&lt;65,"Yes","No")</f>
        <v>No</v>
      </c>
      <c r="K234" t="str">
        <f t="shared" si="30"/>
        <v>Kadapa</v>
      </c>
      <c r="L234" t="str">
        <f t="shared" si="31"/>
        <v>Yes</v>
      </c>
    </row>
    <row r="235" spans="1:12" hidden="1" x14ac:dyDescent="0.35">
      <c r="A235" t="s">
        <v>276</v>
      </c>
      <c r="B235" t="s">
        <v>45</v>
      </c>
      <c r="C235" t="s">
        <v>13</v>
      </c>
      <c r="D235">
        <v>98.86</v>
      </c>
      <c r="E235" t="s">
        <v>5</v>
      </c>
      <c r="F235">
        <v>7.75</v>
      </c>
      <c r="G235" t="s">
        <v>6</v>
      </c>
      <c r="H235" t="str">
        <f t="shared" si="27"/>
        <v>Passed</v>
      </c>
      <c r="I235" t="str">
        <f>IF(AND(Sheet1[[#This Row],[Attendance ]]&gt;65,Sheet1[[#This Row],[Attendance ]]&lt;75),"Yes","No")</f>
        <v>No</v>
      </c>
      <c r="J235" t="str">
        <f>IF(Sheet1[[#This Row],[Attendance ]]&lt;65,"Yes","No")</f>
        <v>No</v>
      </c>
    </row>
    <row r="236" spans="1:12" hidden="1" x14ac:dyDescent="0.35">
      <c r="A236" t="s">
        <v>277</v>
      </c>
      <c r="B236" t="s">
        <v>116</v>
      </c>
      <c r="C236" t="s">
        <v>20</v>
      </c>
      <c r="D236">
        <v>93.38</v>
      </c>
      <c r="E236" t="s">
        <v>5</v>
      </c>
      <c r="F236">
        <v>7.76</v>
      </c>
      <c r="G236" t="s">
        <v>26</v>
      </c>
      <c r="H236" t="str">
        <f t="shared" si="27"/>
        <v>Passed</v>
      </c>
      <c r="I236" t="str">
        <f>IF(AND(Sheet1[[#This Row],[Attendance ]]&gt;65,Sheet1[[#This Row],[Attendance ]]&lt;75),"Yes","No")</f>
        <v>No</v>
      </c>
      <c r="J236" t="str">
        <f>IF(Sheet1[[#This Row],[Attendance ]]&lt;65,"Yes","No")</f>
        <v>No</v>
      </c>
    </row>
    <row r="237" spans="1:12" hidden="1" x14ac:dyDescent="0.35">
      <c r="A237" t="s">
        <v>278</v>
      </c>
      <c r="B237" t="s">
        <v>61</v>
      </c>
      <c r="C237" t="s">
        <v>13</v>
      </c>
      <c r="D237">
        <v>61.27</v>
      </c>
      <c r="E237" t="s">
        <v>10</v>
      </c>
      <c r="F237">
        <v>9.25</v>
      </c>
      <c r="G237" t="s">
        <v>28</v>
      </c>
      <c r="H237" t="str">
        <f t="shared" si="27"/>
        <v>Machine Learning</v>
      </c>
      <c r="I237" t="str">
        <f>IF(AND(Sheet1[[#This Row],[Attendance ]]&gt;65,Sheet1[[#This Row],[Attendance ]]&lt;75),"Yes","No")</f>
        <v>No</v>
      </c>
      <c r="J237" t="str">
        <f>IF(Sheet1[[#This Row],[Attendance ]]&lt;65,"Yes","No")</f>
        <v>Yes</v>
      </c>
    </row>
    <row r="238" spans="1:12" hidden="1" x14ac:dyDescent="0.35">
      <c r="A238" t="s">
        <v>279</v>
      </c>
      <c r="B238" t="s">
        <v>45</v>
      </c>
      <c r="C238" t="s">
        <v>4</v>
      </c>
      <c r="D238">
        <v>83.98</v>
      </c>
      <c r="E238" t="s">
        <v>5</v>
      </c>
      <c r="F238">
        <v>7.25</v>
      </c>
      <c r="G238" t="s">
        <v>26</v>
      </c>
      <c r="H238" t="str">
        <f t="shared" si="27"/>
        <v>Passed</v>
      </c>
      <c r="I238" t="str">
        <f>IF(AND(Sheet1[[#This Row],[Attendance ]]&gt;65,Sheet1[[#This Row],[Attendance ]]&lt;75),"Yes","No")</f>
        <v>No</v>
      </c>
      <c r="J238" t="str">
        <f>IF(Sheet1[[#This Row],[Attendance ]]&lt;65,"Yes","No")</f>
        <v>No</v>
      </c>
    </row>
    <row r="239" spans="1:12" hidden="1" x14ac:dyDescent="0.35">
      <c r="A239" t="s">
        <v>280</v>
      </c>
      <c r="B239" t="s">
        <v>19</v>
      </c>
      <c r="C239" t="s">
        <v>13</v>
      </c>
      <c r="D239">
        <v>97.97</v>
      </c>
      <c r="E239" t="s">
        <v>5</v>
      </c>
      <c r="F239">
        <v>5.48</v>
      </c>
      <c r="G239" t="s">
        <v>28</v>
      </c>
      <c r="H239" t="str">
        <f t="shared" si="27"/>
        <v>Passed</v>
      </c>
      <c r="I239" t="str">
        <f>IF(AND(Sheet1[[#This Row],[Attendance ]]&gt;65,Sheet1[[#This Row],[Attendance ]]&lt;75),"Yes","No")</f>
        <v>No</v>
      </c>
      <c r="J239" t="str">
        <f>IF(Sheet1[[#This Row],[Attendance ]]&lt;65,"Yes","No")</f>
        <v>No</v>
      </c>
    </row>
    <row r="240" spans="1:12" hidden="1" x14ac:dyDescent="0.35">
      <c r="A240" t="s">
        <v>281</v>
      </c>
      <c r="B240" t="s">
        <v>22</v>
      </c>
      <c r="C240" t="s">
        <v>23</v>
      </c>
      <c r="D240">
        <v>99.91</v>
      </c>
      <c r="E240" t="s">
        <v>5</v>
      </c>
      <c r="F240">
        <v>8.31</v>
      </c>
      <c r="G240" t="s">
        <v>11</v>
      </c>
      <c r="H240" t="str">
        <f t="shared" si="27"/>
        <v>Passed</v>
      </c>
      <c r="I240" t="str">
        <f>IF(AND(Sheet1[[#This Row],[Attendance ]]&gt;65,Sheet1[[#This Row],[Attendance ]]&lt;75),"Yes","No")</f>
        <v>No</v>
      </c>
      <c r="J240" t="str">
        <f>IF(Sheet1[[#This Row],[Attendance ]]&lt;65,"Yes","No")</f>
        <v>No</v>
      </c>
    </row>
    <row r="241" spans="1:12" hidden="1" x14ac:dyDescent="0.35">
      <c r="A241" t="s">
        <v>282</v>
      </c>
      <c r="B241" t="s">
        <v>110</v>
      </c>
      <c r="C241" t="s">
        <v>35</v>
      </c>
      <c r="D241">
        <v>77.430000000000007</v>
      </c>
      <c r="E241" t="s">
        <v>5</v>
      </c>
      <c r="F241">
        <v>5.68</v>
      </c>
      <c r="G241" t="s">
        <v>28</v>
      </c>
      <c r="H241" t="str">
        <f t="shared" si="27"/>
        <v>Passed</v>
      </c>
      <c r="I241" t="str">
        <f>IF(AND(Sheet1[[#This Row],[Attendance ]]&gt;65,Sheet1[[#This Row],[Attendance ]]&lt;75),"Yes","No")</f>
        <v>No</v>
      </c>
      <c r="J241" t="str">
        <f>IF(Sheet1[[#This Row],[Attendance ]]&lt;65,"Yes","No")</f>
        <v>No</v>
      </c>
    </row>
    <row r="242" spans="1:12" hidden="1" x14ac:dyDescent="0.35">
      <c r="A242" t="s">
        <v>283</v>
      </c>
      <c r="B242" t="s">
        <v>107</v>
      </c>
      <c r="C242" t="s">
        <v>23</v>
      </c>
      <c r="D242">
        <v>95.4</v>
      </c>
      <c r="E242" t="s">
        <v>5</v>
      </c>
      <c r="F242">
        <v>7.85</v>
      </c>
      <c r="G242" t="s">
        <v>11</v>
      </c>
      <c r="H242" t="str">
        <f t="shared" si="27"/>
        <v>Passed</v>
      </c>
      <c r="I242" t="str">
        <f>IF(AND(Sheet1[[#This Row],[Attendance ]]&gt;65,Sheet1[[#This Row],[Attendance ]]&lt;75),"Yes","No")</f>
        <v>No</v>
      </c>
      <c r="J242" t="str">
        <f>IF(Sheet1[[#This Row],[Attendance ]]&lt;65,"Yes","No")</f>
        <v>No</v>
      </c>
    </row>
    <row r="243" spans="1:12" hidden="1" x14ac:dyDescent="0.35">
      <c r="A243" t="s">
        <v>284</v>
      </c>
      <c r="B243" t="s">
        <v>39</v>
      </c>
      <c r="C243" t="s">
        <v>9</v>
      </c>
      <c r="D243">
        <v>78.53</v>
      </c>
      <c r="E243" t="s">
        <v>5</v>
      </c>
      <c r="F243">
        <v>5.84</v>
      </c>
      <c r="G243" t="s">
        <v>28</v>
      </c>
      <c r="H243" t="str">
        <f t="shared" si="27"/>
        <v>Passed</v>
      </c>
      <c r="I243" t="str">
        <f>IF(AND(Sheet1[[#This Row],[Attendance ]]&gt;65,Sheet1[[#This Row],[Attendance ]]&lt;75),"Yes","No")</f>
        <v>No</v>
      </c>
      <c r="J243" t="str">
        <f>IF(Sheet1[[#This Row],[Attendance ]]&lt;65,"Yes","No")</f>
        <v>No</v>
      </c>
    </row>
    <row r="244" spans="1:12" x14ac:dyDescent="0.35">
      <c r="A244" t="s">
        <v>285</v>
      </c>
      <c r="B244" t="s">
        <v>58</v>
      </c>
      <c r="C244" t="s">
        <v>4</v>
      </c>
      <c r="D244">
        <v>71.23</v>
      </c>
      <c r="E244" t="s">
        <v>5</v>
      </c>
      <c r="F244">
        <v>7.74</v>
      </c>
      <c r="G244" t="s">
        <v>6</v>
      </c>
      <c r="H244" t="str">
        <f t="shared" si="27"/>
        <v>Passed</v>
      </c>
      <c r="I244" t="str">
        <f>IF(AND(Sheet1[[#This Row],[Attendance ]]&gt;65,Sheet1[[#This Row],[Attendance ]]&lt;75),"Yes","No")</f>
        <v>Yes</v>
      </c>
      <c r="J244" t="str">
        <f>IF(Sheet1[[#This Row],[Attendance ]]&lt;65,"Yes","No")</f>
        <v>No</v>
      </c>
      <c r="K244" t="str">
        <f>CHOOSE(MOD(ROW()-2,8)+1,
"Kadapa",
"Ananthapur",
"Rayachoti",
"Nellore",
"Chittoor",
"Madanapalli",
"Rajampeta",
"Tirupati")</f>
        <v>Rayachoti</v>
      </c>
      <c r="L244" t="str">
        <f>IF(AND(G242="4th Year",E242="Pass",F242&gt;=7),"Yes","No")</f>
        <v>No</v>
      </c>
    </row>
    <row r="245" spans="1:12" hidden="1" x14ac:dyDescent="0.35">
      <c r="A245" t="s">
        <v>286</v>
      </c>
      <c r="B245" t="s">
        <v>17</v>
      </c>
      <c r="C245" t="s">
        <v>35</v>
      </c>
      <c r="D245">
        <v>63.09</v>
      </c>
      <c r="E245" t="s">
        <v>5</v>
      </c>
      <c r="F245">
        <v>6.78</v>
      </c>
      <c r="G245" t="s">
        <v>6</v>
      </c>
      <c r="H245" t="str">
        <f t="shared" si="27"/>
        <v>Passed</v>
      </c>
      <c r="I245" t="str">
        <f>IF(AND(Sheet1[[#This Row],[Attendance ]]&gt;65,Sheet1[[#This Row],[Attendance ]]&lt;75),"Yes","No")</f>
        <v>No</v>
      </c>
      <c r="J245" t="str">
        <f>IF(Sheet1[[#This Row],[Attendance ]]&lt;65,"Yes","No")</f>
        <v>Yes</v>
      </c>
    </row>
    <row r="246" spans="1:12" hidden="1" x14ac:dyDescent="0.35">
      <c r="A246" t="s">
        <v>287</v>
      </c>
      <c r="B246" t="s">
        <v>12</v>
      </c>
      <c r="C246" t="s">
        <v>23</v>
      </c>
      <c r="D246">
        <v>93.35</v>
      </c>
      <c r="E246" t="s">
        <v>5</v>
      </c>
      <c r="F246">
        <v>8.31</v>
      </c>
      <c r="G246" t="s">
        <v>28</v>
      </c>
      <c r="H246" t="str">
        <f t="shared" si="27"/>
        <v>Passed</v>
      </c>
      <c r="I246" t="str">
        <f>IF(AND(Sheet1[[#This Row],[Attendance ]]&gt;65,Sheet1[[#This Row],[Attendance ]]&lt;75),"Yes","No")</f>
        <v>No</v>
      </c>
      <c r="J246" t="str">
        <f>IF(Sheet1[[#This Row],[Attendance ]]&lt;65,"Yes","No")</f>
        <v>No</v>
      </c>
    </row>
    <row r="247" spans="1:12" hidden="1" x14ac:dyDescent="0.35">
      <c r="A247" t="s">
        <v>288</v>
      </c>
      <c r="B247" t="s">
        <v>77</v>
      </c>
      <c r="C247" t="s">
        <v>35</v>
      </c>
      <c r="D247">
        <v>85.2</v>
      </c>
      <c r="E247" t="s">
        <v>5</v>
      </c>
      <c r="F247">
        <v>6.39</v>
      </c>
      <c r="G247" t="s">
        <v>11</v>
      </c>
      <c r="H247" t="str">
        <f t="shared" si="27"/>
        <v>Passed</v>
      </c>
      <c r="I247" t="str">
        <f>IF(AND(Sheet1[[#This Row],[Attendance ]]&gt;65,Sheet1[[#This Row],[Attendance ]]&lt;75),"Yes","No")</f>
        <v>No</v>
      </c>
      <c r="J247" t="str">
        <f>IF(Sheet1[[#This Row],[Attendance ]]&lt;65,"Yes","No")</f>
        <v>No</v>
      </c>
    </row>
    <row r="248" spans="1:12" hidden="1" x14ac:dyDescent="0.35">
      <c r="A248" t="s">
        <v>289</v>
      </c>
      <c r="B248" t="s">
        <v>43</v>
      </c>
      <c r="C248" t="s">
        <v>35</v>
      </c>
      <c r="D248">
        <v>92.72</v>
      </c>
      <c r="E248" t="s">
        <v>5</v>
      </c>
      <c r="F248">
        <v>7.47</v>
      </c>
      <c r="G248" t="s">
        <v>26</v>
      </c>
      <c r="H248" t="str">
        <f t="shared" si="27"/>
        <v>Passed</v>
      </c>
      <c r="I248" t="str">
        <f>IF(AND(Sheet1[[#This Row],[Attendance ]]&gt;65,Sheet1[[#This Row],[Attendance ]]&lt;75),"Yes","No")</f>
        <v>No</v>
      </c>
      <c r="J248" t="str">
        <f>IF(Sheet1[[#This Row],[Attendance ]]&lt;65,"Yes","No")</f>
        <v>No</v>
      </c>
    </row>
    <row r="249" spans="1:12" hidden="1" x14ac:dyDescent="0.35">
      <c r="A249" t="s">
        <v>290</v>
      </c>
      <c r="B249" t="s">
        <v>15</v>
      </c>
      <c r="C249" t="s">
        <v>4</v>
      </c>
      <c r="D249">
        <v>78.459999999999994</v>
      </c>
      <c r="E249" t="s">
        <v>5</v>
      </c>
      <c r="F249">
        <v>9.15</v>
      </c>
      <c r="G249" t="s">
        <v>28</v>
      </c>
      <c r="H249" t="str">
        <f t="shared" si="27"/>
        <v>Passed</v>
      </c>
      <c r="I249" t="str">
        <f>IF(AND(Sheet1[[#This Row],[Attendance ]]&gt;65,Sheet1[[#This Row],[Attendance ]]&lt;75),"Yes","No")</f>
        <v>No</v>
      </c>
      <c r="J249" t="str">
        <f>IF(Sheet1[[#This Row],[Attendance ]]&lt;65,"Yes","No")</f>
        <v>No</v>
      </c>
    </row>
    <row r="250" spans="1:12" hidden="1" x14ac:dyDescent="0.35">
      <c r="A250" t="s">
        <v>291</v>
      </c>
      <c r="B250" t="s">
        <v>63</v>
      </c>
      <c r="C250" t="s">
        <v>13</v>
      </c>
      <c r="D250">
        <v>78.42</v>
      </c>
      <c r="E250" t="s">
        <v>5</v>
      </c>
      <c r="F250">
        <v>6.95</v>
      </c>
      <c r="G250" t="s">
        <v>11</v>
      </c>
      <c r="H250" t="str">
        <f t="shared" si="27"/>
        <v>Passed</v>
      </c>
      <c r="I250" t="str">
        <f>IF(AND(Sheet1[[#This Row],[Attendance ]]&gt;65,Sheet1[[#This Row],[Attendance ]]&lt;75),"Yes","No")</f>
        <v>No</v>
      </c>
      <c r="J250" t="str">
        <f>IF(Sheet1[[#This Row],[Attendance ]]&lt;65,"Yes","No")</f>
        <v>No</v>
      </c>
    </row>
    <row r="251" spans="1:12" hidden="1" x14ac:dyDescent="0.35">
      <c r="A251" t="s">
        <v>292</v>
      </c>
      <c r="B251" t="s">
        <v>70</v>
      </c>
      <c r="C251" t="s">
        <v>9</v>
      </c>
      <c r="D251">
        <v>99.28</v>
      </c>
      <c r="E251" t="s">
        <v>5</v>
      </c>
      <c r="F251">
        <v>5.93</v>
      </c>
      <c r="G251" t="s">
        <v>28</v>
      </c>
      <c r="H251" t="str">
        <f t="shared" si="27"/>
        <v>Passed</v>
      </c>
      <c r="I251" t="str">
        <f>IF(AND(Sheet1[[#This Row],[Attendance ]]&gt;65,Sheet1[[#This Row],[Attendance ]]&lt;75),"Yes","No")</f>
        <v>No</v>
      </c>
      <c r="J251" t="str">
        <f>IF(Sheet1[[#This Row],[Attendance ]]&lt;65,"Yes","No")</f>
        <v>No</v>
      </c>
    </row>
    <row r="252" spans="1:12" hidden="1" x14ac:dyDescent="0.35">
      <c r="A252" t="s">
        <v>293</v>
      </c>
      <c r="B252" t="s">
        <v>72</v>
      </c>
      <c r="C252" t="s">
        <v>13</v>
      </c>
      <c r="D252">
        <v>92.22</v>
      </c>
      <c r="E252" t="s">
        <v>5</v>
      </c>
      <c r="F252">
        <v>6.68</v>
      </c>
      <c r="G252" t="s">
        <v>6</v>
      </c>
      <c r="H252" t="str">
        <f t="shared" si="27"/>
        <v>Passed</v>
      </c>
      <c r="I252" t="str">
        <f>IF(AND(Sheet1[[#This Row],[Attendance ]]&gt;65,Sheet1[[#This Row],[Attendance ]]&lt;75),"Yes","No")</f>
        <v>No</v>
      </c>
      <c r="J252" t="str">
        <f>IF(Sheet1[[#This Row],[Attendance ]]&lt;65,"Yes","No")</f>
        <v>No</v>
      </c>
    </row>
    <row r="253" spans="1:12" x14ac:dyDescent="0.35">
      <c r="A253" t="s">
        <v>294</v>
      </c>
      <c r="B253" t="s">
        <v>61</v>
      </c>
      <c r="C253" t="s">
        <v>13</v>
      </c>
      <c r="D253">
        <v>67.180000000000007</v>
      </c>
      <c r="E253" t="s">
        <v>5</v>
      </c>
      <c r="F253">
        <v>7.48</v>
      </c>
      <c r="G253" t="s">
        <v>26</v>
      </c>
      <c r="H253" t="str">
        <f t="shared" si="27"/>
        <v>Passed</v>
      </c>
      <c r="I253" t="str">
        <f>IF(AND(Sheet1[[#This Row],[Attendance ]]&gt;65,Sheet1[[#This Row],[Attendance ]]&lt;75),"Yes","No")</f>
        <v>Yes</v>
      </c>
      <c r="J253" t="str">
        <f>IF(Sheet1[[#This Row],[Attendance ]]&lt;65,"Yes","No")</f>
        <v>No</v>
      </c>
      <c r="K253" t="str">
        <f>CHOOSE(MOD(ROW()-2,8)+1,
"Kadapa",
"Ananthapur",
"Rayachoti",
"Nellore",
"Chittoor",
"Madanapalli",
"Rajampeta",
"Tirupati")</f>
        <v>Nellore</v>
      </c>
      <c r="L253" t="str">
        <f>IF(AND(G251="4th Year",E251="Pass",F251&gt;=7),"Yes","No")</f>
        <v>No</v>
      </c>
    </row>
    <row r="254" spans="1:12" hidden="1" x14ac:dyDescent="0.35">
      <c r="A254" t="s">
        <v>295</v>
      </c>
      <c r="B254" t="s">
        <v>63</v>
      </c>
      <c r="C254" t="s">
        <v>4</v>
      </c>
      <c r="D254">
        <v>92.84</v>
      </c>
      <c r="E254" t="s">
        <v>5</v>
      </c>
      <c r="F254">
        <v>7.52</v>
      </c>
      <c r="G254" t="s">
        <v>6</v>
      </c>
      <c r="H254" t="str">
        <f t="shared" si="27"/>
        <v>Passed</v>
      </c>
      <c r="I254" t="str">
        <f>IF(AND(Sheet1[[#This Row],[Attendance ]]&gt;65,Sheet1[[#This Row],[Attendance ]]&lt;75),"Yes","No")</f>
        <v>No</v>
      </c>
      <c r="J254" t="str">
        <f>IF(Sheet1[[#This Row],[Attendance ]]&lt;65,"Yes","No")</f>
        <v>No</v>
      </c>
    </row>
    <row r="255" spans="1:12" x14ac:dyDescent="0.35">
      <c r="A255" t="s">
        <v>296</v>
      </c>
      <c r="B255" t="s">
        <v>17</v>
      </c>
      <c r="C255" t="s">
        <v>35</v>
      </c>
      <c r="D255">
        <v>70.78</v>
      </c>
      <c r="E255" t="s">
        <v>5</v>
      </c>
      <c r="F255">
        <v>5.62</v>
      </c>
      <c r="G255" t="s">
        <v>11</v>
      </c>
      <c r="H255" t="str">
        <f t="shared" si="27"/>
        <v>Passed</v>
      </c>
      <c r="I255" t="str">
        <f>IF(AND(Sheet1[[#This Row],[Attendance ]]&gt;65,Sheet1[[#This Row],[Attendance ]]&lt;75),"Yes","No")</f>
        <v>Yes</v>
      </c>
      <c r="J255" t="str">
        <f>IF(Sheet1[[#This Row],[Attendance ]]&lt;65,"Yes","No")</f>
        <v>No</v>
      </c>
      <c r="K255" t="str">
        <f>CHOOSE(MOD(ROW()-2,8)+1,
"Kadapa",
"Ananthapur",
"Rayachoti",
"Nellore",
"Chittoor",
"Madanapalli",
"Rajampeta",
"Tirupati")</f>
        <v>Madanapalli</v>
      </c>
      <c r="L255" t="str">
        <f>IF(AND(G253="4th Year",E253="Pass",F253&gt;=7),"Yes","No")</f>
        <v>Yes</v>
      </c>
    </row>
    <row r="256" spans="1:12" hidden="1" x14ac:dyDescent="0.35">
      <c r="A256" t="s">
        <v>297</v>
      </c>
      <c r="B256" t="s">
        <v>34</v>
      </c>
      <c r="C256" t="s">
        <v>23</v>
      </c>
      <c r="D256">
        <v>86.54</v>
      </c>
      <c r="E256" t="s">
        <v>5</v>
      </c>
      <c r="F256">
        <v>8.24</v>
      </c>
      <c r="G256" t="s">
        <v>6</v>
      </c>
      <c r="H256" t="str">
        <f t="shared" si="27"/>
        <v>Passed</v>
      </c>
      <c r="I256" t="str">
        <f>IF(AND(Sheet1[[#This Row],[Attendance ]]&gt;65,Sheet1[[#This Row],[Attendance ]]&lt;75),"Yes","No")</f>
        <v>No</v>
      </c>
      <c r="J256" t="str">
        <f>IF(Sheet1[[#This Row],[Attendance ]]&lt;65,"Yes","No")</f>
        <v>No</v>
      </c>
    </row>
    <row r="257" spans="1:12" hidden="1" x14ac:dyDescent="0.35">
      <c r="A257" t="s">
        <v>298</v>
      </c>
      <c r="B257" t="s">
        <v>61</v>
      </c>
      <c r="C257" t="s">
        <v>20</v>
      </c>
      <c r="D257">
        <v>89.39</v>
      </c>
      <c r="E257" t="s">
        <v>5</v>
      </c>
      <c r="F257">
        <v>6.78</v>
      </c>
      <c r="G257" t="s">
        <v>6</v>
      </c>
      <c r="H257" t="str">
        <f t="shared" si="27"/>
        <v>Passed</v>
      </c>
      <c r="I257" t="str">
        <f>IF(AND(Sheet1[[#This Row],[Attendance ]]&gt;65,Sheet1[[#This Row],[Attendance ]]&lt;75),"Yes","No")</f>
        <v>No</v>
      </c>
      <c r="J257" t="str">
        <f>IF(Sheet1[[#This Row],[Attendance ]]&lt;65,"Yes","No")</f>
        <v>No</v>
      </c>
    </row>
    <row r="258" spans="1:12" hidden="1" x14ac:dyDescent="0.35">
      <c r="A258" t="s">
        <v>299</v>
      </c>
      <c r="B258" t="s">
        <v>12</v>
      </c>
      <c r="C258" t="s">
        <v>20</v>
      </c>
      <c r="D258">
        <v>97.27</v>
      </c>
      <c r="E258" t="s">
        <v>5</v>
      </c>
      <c r="F258">
        <v>7.05</v>
      </c>
      <c r="G258" t="s">
        <v>11</v>
      </c>
      <c r="H258" t="str">
        <f t="shared" ref="H258:H321" si="32">IF(E258="Pass","Passed",
IF(G258="1st Year","M1",
IF(G258="2nd Year","DBMS",
IF(G258="3rd Year","Machine Learning",
IF(G258="4th Year","Deep Learning","")))))</f>
        <v>Passed</v>
      </c>
      <c r="I258" t="str">
        <f>IF(AND(Sheet1[[#This Row],[Attendance ]]&gt;65,Sheet1[[#This Row],[Attendance ]]&lt;75),"Yes","No")</f>
        <v>No</v>
      </c>
      <c r="J258" t="str">
        <f>IF(Sheet1[[#This Row],[Attendance ]]&lt;65,"Yes","No")</f>
        <v>No</v>
      </c>
    </row>
    <row r="259" spans="1:12" x14ac:dyDescent="0.35">
      <c r="A259" t="s">
        <v>300</v>
      </c>
      <c r="B259" t="s">
        <v>98</v>
      </c>
      <c r="C259" t="s">
        <v>23</v>
      </c>
      <c r="D259">
        <v>70.290000000000006</v>
      </c>
      <c r="E259" t="s">
        <v>5</v>
      </c>
      <c r="F259">
        <v>6.91</v>
      </c>
      <c r="G259" t="s">
        <v>28</v>
      </c>
      <c r="H259" t="str">
        <f t="shared" si="32"/>
        <v>Passed</v>
      </c>
      <c r="I259" t="str">
        <f>IF(AND(Sheet1[[#This Row],[Attendance ]]&gt;65,Sheet1[[#This Row],[Attendance ]]&lt;75),"Yes","No")</f>
        <v>Yes</v>
      </c>
      <c r="J259" t="str">
        <f>IF(Sheet1[[#This Row],[Attendance ]]&lt;65,"Yes","No")</f>
        <v>No</v>
      </c>
      <c r="K259" t="str">
        <f>CHOOSE(MOD(ROW()-2,8)+1,
"Kadapa",
"Ananthapur",
"Rayachoti",
"Nellore",
"Chittoor",
"Madanapalli",
"Rajampeta",
"Tirupati")</f>
        <v>Ananthapur</v>
      </c>
      <c r="L259" t="str">
        <f>IF(AND(G257="4th Year",E257="Pass",F257&gt;=7),"Yes","No")</f>
        <v>No</v>
      </c>
    </row>
    <row r="260" spans="1:12" hidden="1" x14ac:dyDescent="0.35">
      <c r="A260" t="s">
        <v>301</v>
      </c>
      <c r="B260" t="s">
        <v>39</v>
      </c>
      <c r="C260" t="s">
        <v>4</v>
      </c>
      <c r="D260">
        <v>91.99</v>
      </c>
      <c r="E260" t="s">
        <v>5</v>
      </c>
      <c r="F260">
        <v>7.17</v>
      </c>
      <c r="G260" t="s">
        <v>26</v>
      </c>
      <c r="H260" t="str">
        <f t="shared" si="32"/>
        <v>Passed</v>
      </c>
      <c r="I260" t="str">
        <f>IF(AND(Sheet1[[#This Row],[Attendance ]]&gt;65,Sheet1[[#This Row],[Attendance ]]&lt;75),"Yes","No")</f>
        <v>No</v>
      </c>
      <c r="J260" t="str">
        <f>IF(Sheet1[[#This Row],[Attendance ]]&lt;65,"Yes","No")</f>
        <v>No</v>
      </c>
    </row>
    <row r="261" spans="1:12" hidden="1" x14ac:dyDescent="0.35">
      <c r="A261" t="s">
        <v>302</v>
      </c>
      <c r="B261" t="s">
        <v>63</v>
      </c>
      <c r="C261" t="s">
        <v>4</v>
      </c>
      <c r="D261">
        <v>76.760000000000005</v>
      </c>
      <c r="E261" t="s">
        <v>10</v>
      </c>
      <c r="F261">
        <v>5.66</v>
      </c>
      <c r="G261" t="s">
        <v>26</v>
      </c>
      <c r="H261" t="str">
        <f t="shared" si="32"/>
        <v>Deep Learning</v>
      </c>
      <c r="I261" t="str">
        <f>IF(AND(Sheet1[[#This Row],[Attendance ]]&gt;65,Sheet1[[#This Row],[Attendance ]]&lt;75),"Yes","No")</f>
        <v>No</v>
      </c>
      <c r="J261" t="str">
        <f>IF(Sheet1[[#This Row],[Attendance ]]&lt;65,"Yes","No")</f>
        <v>No</v>
      </c>
    </row>
    <row r="262" spans="1:12" x14ac:dyDescent="0.35">
      <c r="A262" t="s">
        <v>303</v>
      </c>
      <c r="B262" t="s">
        <v>88</v>
      </c>
      <c r="C262" t="s">
        <v>4</v>
      </c>
      <c r="D262">
        <v>65.56</v>
      </c>
      <c r="E262" t="s">
        <v>5</v>
      </c>
      <c r="F262">
        <v>6.72</v>
      </c>
      <c r="G262" t="s">
        <v>11</v>
      </c>
      <c r="H262" t="str">
        <f t="shared" si="32"/>
        <v>Passed</v>
      </c>
      <c r="I262" t="str">
        <f>IF(AND(Sheet1[[#This Row],[Attendance ]]&gt;65,Sheet1[[#This Row],[Attendance ]]&lt;75),"Yes","No")</f>
        <v>Yes</v>
      </c>
      <c r="J262" t="str">
        <f>IF(Sheet1[[#This Row],[Attendance ]]&lt;65,"Yes","No")</f>
        <v>No</v>
      </c>
      <c r="K262" t="str">
        <f>CHOOSE(MOD(ROW()-2,8)+1,
"Kadapa",
"Ananthapur",
"Rayachoti",
"Nellore",
"Chittoor",
"Madanapalli",
"Rajampeta",
"Tirupati")</f>
        <v>Chittoor</v>
      </c>
      <c r="L262" t="str">
        <f>IF(AND(G260="4th Year",E260="Pass",F260&gt;=7),"Yes","No")</f>
        <v>Yes</v>
      </c>
    </row>
    <row r="263" spans="1:12" hidden="1" x14ac:dyDescent="0.35">
      <c r="A263" t="s">
        <v>304</v>
      </c>
      <c r="B263" t="s">
        <v>77</v>
      </c>
      <c r="C263" t="s">
        <v>23</v>
      </c>
      <c r="D263">
        <v>85.26</v>
      </c>
      <c r="E263" t="s">
        <v>5</v>
      </c>
      <c r="F263">
        <v>6.51</v>
      </c>
      <c r="G263" t="s">
        <v>6</v>
      </c>
      <c r="H263" t="str">
        <f t="shared" si="32"/>
        <v>Passed</v>
      </c>
      <c r="I263" t="str">
        <f>IF(AND(Sheet1[[#This Row],[Attendance ]]&gt;65,Sheet1[[#This Row],[Attendance ]]&lt;75),"Yes","No")</f>
        <v>No</v>
      </c>
      <c r="J263" t="str">
        <f>IF(Sheet1[[#This Row],[Attendance ]]&lt;65,"Yes","No")</f>
        <v>No</v>
      </c>
    </row>
    <row r="264" spans="1:12" hidden="1" x14ac:dyDescent="0.35">
      <c r="A264" t="s">
        <v>305</v>
      </c>
      <c r="B264" t="s">
        <v>107</v>
      </c>
      <c r="C264" t="s">
        <v>20</v>
      </c>
      <c r="D264">
        <v>92.36</v>
      </c>
      <c r="E264" t="s">
        <v>5</v>
      </c>
      <c r="F264">
        <v>8.3699999999999992</v>
      </c>
      <c r="G264" t="s">
        <v>11</v>
      </c>
      <c r="H264" t="str">
        <f t="shared" si="32"/>
        <v>Passed</v>
      </c>
      <c r="I264" t="str">
        <f>IF(AND(Sheet1[[#This Row],[Attendance ]]&gt;65,Sheet1[[#This Row],[Attendance ]]&lt;75),"Yes","No")</f>
        <v>No</v>
      </c>
      <c r="J264" t="str">
        <f>IF(Sheet1[[#This Row],[Attendance ]]&lt;65,"Yes","No")</f>
        <v>No</v>
      </c>
    </row>
    <row r="265" spans="1:12" hidden="1" x14ac:dyDescent="0.35">
      <c r="A265" t="s">
        <v>306</v>
      </c>
      <c r="B265" t="s">
        <v>51</v>
      </c>
      <c r="C265" t="s">
        <v>9</v>
      </c>
      <c r="D265">
        <v>96.9</v>
      </c>
      <c r="E265" t="s">
        <v>5</v>
      </c>
      <c r="F265">
        <v>7.49</v>
      </c>
      <c r="G265" t="s">
        <v>6</v>
      </c>
      <c r="H265" t="str">
        <f t="shared" si="32"/>
        <v>Passed</v>
      </c>
      <c r="I265" t="str">
        <f>IF(AND(Sheet1[[#This Row],[Attendance ]]&gt;65,Sheet1[[#This Row],[Attendance ]]&lt;75),"Yes","No")</f>
        <v>No</v>
      </c>
      <c r="J265" t="str">
        <f>IF(Sheet1[[#This Row],[Attendance ]]&lt;65,"Yes","No")</f>
        <v>No</v>
      </c>
    </row>
    <row r="266" spans="1:12" hidden="1" x14ac:dyDescent="0.35">
      <c r="A266" t="s">
        <v>307</v>
      </c>
      <c r="B266" t="s">
        <v>149</v>
      </c>
      <c r="C266" t="s">
        <v>9</v>
      </c>
      <c r="D266">
        <v>96.11</v>
      </c>
      <c r="E266" t="s">
        <v>5</v>
      </c>
      <c r="F266">
        <v>5.32</v>
      </c>
      <c r="G266" t="s">
        <v>28</v>
      </c>
      <c r="H266" t="str">
        <f t="shared" si="32"/>
        <v>Passed</v>
      </c>
      <c r="I266" t="str">
        <f>IF(AND(Sheet1[[#This Row],[Attendance ]]&gt;65,Sheet1[[#This Row],[Attendance ]]&lt;75),"Yes","No")</f>
        <v>No</v>
      </c>
      <c r="J266" t="str">
        <f>IF(Sheet1[[#This Row],[Attendance ]]&lt;65,"Yes","No")</f>
        <v>No</v>
      </c>
    </row>
    <row r="267" spans="1:12" hidden="1" x14ac:dyDescent="0.35">
      <c r="A267" t="s">
        <v>308</v>
      </c>
      <c r="B267" t="s">
        <v>63</v>
      </c>
      <c r="C267" t="s">
        <v>13</v>
      </c>
      <c r="D267">
        <v>91.85</v>
      </c>
      <c r="E267" t="s">
        <v>5</v>
      </c>
      <c r="F267">
        <v>5.97</v>
      </c>
      <c r="G267" t="s">
        <v>11</v>
      </c>
      <c r="H267" t="str">
        <f t="shared" si="32"/>
        <v>Passed</v>
      </c>
      <c r="I267" t="str">
        <f>IF(AND(Sheet1[[#This Row],[Attendance ]]&gt;65,Sheet1[[#This Row],[Attendance ]]&lt;75),"Yes","No")</f>
        <v>No</v>
      </c>
      <c r="J267" t="str">
        <f>IF(Sheet1[[#This Row],[Attendance ]]&lt;65,"Yes","No")</f>
        <v>No</v>
      </c>
    </row>
    <row r="268" spans="1:12" hidden="1" x14ac:dyDescent="0.35">
      <c r="A268" t="s">
        <v>309</v>
      </c>
      <c r="B268" t="s">
        <v>116</v>
      </c>
      <c r="C268" t="s">
        <v>35</v>
      </c>
      <c r="D268">
        <v>84.99</v>
      </c>
      <c r="E268" t="s">
        <v>5</v>
      </c>
      <c r="F268">
        <v>7.49</v>
      </c>
      <c r="G268" t="s">
        <v>26</v>
      </c>
      <c r="H268" t="str">
        <f t="shared" si="32"/>
        <v>Passed</v>
      </c>
      <c r="I268" t="str">
        <f>IF(AND(Sheet1[[#This Row],[Attendance ]]&gt;65,Sheet1[[#This Row],[Attendance ]]&lt;75),"Yes","No")</f>
        <v>No</v>
      </c>
      <c r="J268" t="str">
        <f>IF(Sheet1[[#This Row],[Attendance ]]&lt;65,"Yes","No")</f>
        <v>No</v>
      </c>
    </row>
    <row r="269" spans="1:12" x14ac:dyDescent="0.35">
      <c r="A269" t="s">
        <v>310</v>
      </c>
      <c r="B269" t="s">
        <v>72</v>
      </c>
      <c r="C269" t="s">
        <v>9</v>
      </c>
      <c r="D269">
        <v>67.94</v>
      </c>
      <c r="E269" t="s">
        <v>5</v>
      </c>
      <c r="F269">
        <v>7.7</v>
      </c>
      <c r="G269" t="s">
        <v>11</v>
      </c>
      <c r="H269" t="str">
        <f t="shared" si="32"/>
        <v>Passed</v>
      </c>
      <c r="I269" t="str">
        <f>IF(AND(Sheet1[[#This Row],[Attendance ]]&gt;65,Sheet1[[#This Row],[Attendance ]]&lt;75),"Yes","No")</f>
        <v>Yes</v>
      </c>
      <c r="J269" t="str">
        <f>IF(Sheet1[[#This Row],[Attendance ]]&lt;65,"Yes","No")</f>
        <v>No</v>
      </c>
      <c r="K269" t="str">
        <f t="shared" ref="K269:K270" si="33">CHOOSE(MOD(ROW()-2,8)+1,
"Kadapa",
"Ananthapur",
"Rayachoti",
"Nellore",
"Chittoor",
"Madanapalli",
"Rajampeta",
"Tirupati")</f>
        <v>Nellore</v>
      </c>
      <c r="L269" t="str">
        <f t="shared" ref="L269:L270" si="34">IF(AND(G267="4th Year",E267="Pass",F267&gt;=7),"Yes","No")</f>
        <v>No</v>
      </c>
    </row>
    <row r="270" spans="1:12" x14ac:dyDescent="0.35">
      <c r="A270" t="s">
        <v>311</v>
      </c>
      <c r="B270" t="s">
        <v>110</v>
      </c>
      <c r="C270" t="s">
        <v>4</v>
      </c>
      <c r="D270">
        <v>74.319999999999993</v>
      </c>
      <c r="E270" t="s">
        <v>5</v>
      </c>
      <c r="F270">
        <v>8.27</v>
      </c>
      <c r="G270" t="s">
        <v>6</v>
      </c>
      <c r="H270" t="str">
        <f t="shared" si="32"/>
        <v>Passed</v>
      </c>
      <c r="I270" t="str">
        <f>IF(AND(Sheet1[[#This Row],[Attendance ]]&gt;65,Sheet1[[#This Row],[Attendance ]]&lt;75),"Yes","No")</f>
        <v>Yes</v>
      </c>
      <c r="J270" t="str">
        <f>IF(Sheet1[[#This Row],[Attendance ]]&lt;65,"Yes","No")</f>
        <v>No</v>
      </c>
      <c r="K270" t="str">
        <f t="shared" si="33"/>
        <v>Chittoor</v>
      </c>
      <c r="L270" t="str">
        <f t="shared" si="34"/>
        <v>Yes</v>
      </c>
    </row>
    <row r="271" spans="1:12" hidden="1" x14ac:dyDescent="0.35">
      <c r="A271" t="s">
        <v>312</v>
      </c>
      <c r="B271" t="s">
        <v>58</v>
      </c>
      <c r="C271" t="s">
        <v>13</v>
      </c>
      <c r="D271">
        <v>76.98</v>
      </c>
      <c r="E271" t="s">
        <v>5</v>
      </c>
      <c r="F271">
        <v>5.13</v>
      </c>
      <c r="G271" t="s">
        <v>26</v>
      </c>
      <c r="H271" t="str">
        <f t="shared" si="32"/>
        <v>Passed</v>
      </c>
      <c r="I271" t="str">
        <f>IF(AND(Sheet1[[#This Row],[Attendance ]]&gt;65,Sheet1[[#This Row],[Attendance ]]&lt;75),"Yes","No")</f>
        <v>No</v>
      </c>
      <c r="J271" t="str">
        <f>IF(Sheet1[[#This Row],[Attendance ]]&lt;65,"Yes","No")</f>
        <v>No</v>
      </c>
    </row>
    <row r="272" spans="1:12" hidden="1" x14ac:dyDescent="0.35">
      <c r="A272" t="s">
        <v>313</v>
      </c>
      <c r="B272" t="s">
        <v>25</v>
      </c>
      <c r="C272" t="s">
        <v>9</v>
      </c>
      <c r="D272">
        <v>96.2</v>
      </c>
      <c r="E272" t="s">
        <v>5</v>
      </c>
      <c r="F272">
        <v>6.13</v>
      </c>
      <c r="G272" t="s">
        <v>11</v>
      </c>
      <c r="H272" t="str">
        <f t="shared" si="32"/>
        <v>Passed</v>
      </c>
      <c r="I272" t="str">
        <f>IF(AND(Sheet1[[#This Row],[Attendance ]]&gt;65,Sheet1[[#This Row],[Attendance ]]&lt;75),"Yes","No")</f>
        <v>No</v>
      </c>
      <c r="J272" t="str">
        <f>IF(Sheet1[[#This Row],[Attendance ]]&lt;65,"Yes","No")</f>
        <v>No</v>
      </c>
    </row>
    <row r="273" spans="1:12" hidden="1" x14ac:dyDescent="0.35">
      <c r="A273" t="s">
        <v>314</v>
      </c>
      <c r="B273" t="s">
        <v>32</v>
      </c>
      <c r="C273" t="s">
        <v>9</v>
      </c>
      <c r="D273">
        <v>89.22</v>
      </c>
      <c r="E273" t="s">
        <v>5</v>
      </c>
      <c r="F273">
        <v>8.58</v>
      </c>
      <c r="G273" t="s">
        <v>28</v>
      </c>
      <c r="H273" t="str">
        <f t="shared" si="32"/>
        <v>Passed</v>
      </c>
      <c r="I273" t="str">
        <f>IF(AND(Sheet1[[#This Row],[Attendance ]]&gt;65,Sheet1[[#This Row],[Attendance ]]&lt;75),"Yes","No")</f>
        <v>No</v>
      </c>
      <c r="J273" t="str">
        <f>IF(Sheet1[[#This Row],[Attendance ]]&lt;65,"Yes","No")</f>
        <v>No</v>
      </c>
    </row>
    <row r="274" spans="1:12" hidden="1" x14ac:dyDescent="0.35">
      <c r="A274" t="s">
        <v>315</v>
      </c>
      <c r="B274" t="s">
        <v>70</v>
      </c>
      <c r="C274" t="s">
        <v>20</v>
      </c>
      <c r="D274">
        <v>83.97</v>
      </c>
      <c r="E274" t="s">
        <v>5</v>
      </c>
      <c r="F274">
        <v>6.89</v>
      </c>
      <c r="G274" t="s">
        <v>28</v>
      </c>
      <c r="H274" t="str">
        <f t="shared" si="32"/>
        <v>Passed</v>
      </c>
      <c r="I274" t="str">
        <f>IF(AND(Sheet1[[#This Row],[Attendance ]]&gt;65,Sheet1[[#This Row],[Attendance ]]&lt;75),"Yes","No")</f>
        <v>No</v>
      </c>
      <c r="J274" t="str">
        <f>IF(Sheet1[[#This Row],[Attendance ]]&lt;65,"Yes","No")</f>
        <v>No</v>
      </c>
    </row>
    <row r="275" spans="1:12" hidden="1" x14ac:dyDescent="0.35">
      <c r="A275" t="s">
        <v>316</v>
      </c>
      <c r="B275" t="s">
        <v>3</v>
      </c>
      <c r="C275" t="s">
        <v>4</v>
      </c>
      <c r="D275">
        <v>98.02</v>
      </c>
      <c r="E275" t="s">
        <v>5</v>
      </c>
      <c r="F275">
        <v>8.4</v>
      </c>
      <c r="G275" t="s">
        <v>26</v>
      </c>
      <c r="H275" t="str">
        <f t="shared" si="32"/>
        <v>Passed</v>
      </c>
      <c r="I275" t="str">
        <f>IF(AND(Sheet1[[#This Row],[Attendance ]]&gt;65,Sheet1[[#This Row],[Attendance ]]&lt;75),"Yes","No")</f>
        <v>No</v>
      </c>
      <c r="J275" t="str">
        <f>IF(Sheet1[[#This Row],[Attendance ]]&lt;65,"Yes","No")</f>
        <v>No</v>
      </c>
    </row>
    <row r="276" spans="1:12" hidden="1" x14ac:dyDescent="0.35">
      <c r="A276" t="s">
        <v>317</v>
      </c>
      <c r="B276" t="s">
        <v>63</v>
      </c>
      <c r="C276" t="s">
        <v>9</v>
      </c>
      <c r="D276">
        <v>77.48</v>
      </c>
      <c r="E276" t="s">
        <v>5</v>
      </c>
      <c r="F276">
        <v>5.61</v>
      </c>
      <c r="G276" t="s">
        <v>6</v>
      </c>
      <c r="H276" t="str">
        <f t="shared" si="32"/>
        <v>Passed</v>
      </c>
      <c r="I276" t="str">
        <f>IF(AND(Sheet1[[#This Row],[Attendance ]]&gt;65,Sheet1[[#This Row],[Attendance ]]&lt;75),"Yes","No")</f>
        <v>No</v>
      </c>
      <c r="J276" t="str">
        <f>IF(Sheet1[[#This Row],[Attendance ]]&lt;65,"Yes","No")</f>
        <v>No</v>
      </c>
    </row>
    <row r="277" spans="1:12" hidden="1" x14ac:dyDescent="0.35">
      <c r="A277" t="s">
        <v>318</v>
      </c>
      <c r="B277" t="s">
        <v>30</v>
      </c>
      <c r="C277" t="s">
        <v>13</v>
      </c>
      <c r="D277">
        <v>87.7</v>
      </c>
      <c r="E277" t="s">
        <v>5</v>
      </c>
      <c r="F277">
        <v>5.08</v>
      </c>
      <c r="G277" t="s">
        <v>28</v>
      </c>
      <c r="H277" t="str">
        <f t="shared" si="32"/>
        <v>Passed</v>
      </c>
      <c r="I277" t="str">
        <f>IF(AND(Sheet1[[#This Row],[Attendance ]]&gt;65,Sheet1[[#This Row],[Attendance ]]&lt;75),"Yes","No")</f>
        <v>No</v>
      </c>
      <c r="J277" t="str">
        <f>IF(Sheet1[[#This Row],[Attendance ]]&lt;65,"Yes","No")</f>
        <v>No</v>
      </c>
    </row>
    <row r="278" spans="1:12" hidden="1" x14ac:dyDescent="0.35">
      <c r="A278" t="s">
        <v>319</v>
      </c>
      <c r="B278" t="s">
        <v>43</v>
      </c>
      <c r="C278" t="s">
        <v>9</v>
      </c>
      <c r="D278">
        <v>96.53</v>
      </c>
      <c r="E278" t="s">
        <v>10</v>
      </c>
      <c r="F278">
        <v>9.6300000000000008</v>
      </c>
      <c r="G278" t="s">
        <v>28</v>
      </c>
      <c r="H278" t="str">
        <f t="shared" si="32"/>
        <v>Machine Learning</v>
      </c>
      <c r="I278" t="str">
        <f>IF(AND(Sheet1[[#This Row],[Attendance ]]&gt;65,Sheet1[[#This Row],[Attendance ]]&lt;75),"Yes","No")</f>
        <v>No</v>
      </c>
      <c r="J278" t="str">
        <f>IF(Sheet1[[#This Row],[Attendance ]]&lt;65,"Yes","No")</f>
        <v>No</v>
      </c>
    </row>
    <row r="279" spans="1:12" hidden="1" x14ac:dyDescent="0.35">
      <c r="A279" t="s">
        <v>320</v>
      </c>
      <c r="B279" t="s">
        <v>25</v>
      </c>
      <c r="C279" t="s">
        <v>4</v>
      </c>
      <c r="D279">
        <v>80.44</v>
      </c>
      <c r="E279" t="s">
        <v>5</v>
      </c>
      <c r="F279">
        <v>5.87</v>
      </c>
      <c r="G279" t="s">
        <v>11</v>
      </c>
      <c r="H279" t="str">
        <f t="shared" si="32"/>
        <v>Passed</v>
      </c>
      <c r="I279" t="str">
        <f>IF(AND(Sheet1[[#This Row],[Attendance ]]&gt;65,Sheet1[[#This Row],[Attendance ]]&lt;75),"Yes","No")</f>
        <v>No</v>
      </c>
      <c r="J279" t="str">
        <f>IF(Sheet1[[#This Row],[Attendance ]]&lt;65,"Yes","No")</f>
        <v>No</v>
      </c>
    </row>
    <row r="280" spans="1:12" hidden="1" x14ac:dyDescent="0.35">
      <c r="A280" t="s">
        <v>321</v>
      </c>
      <c r="B280" t="s">
        <v>45</v>
      </c>
      <c r="C280" t="s">
        <v>35</v>
      </c>
      <c r="D280">
        <v>78.37</v>
      </c>
      <c r="E280" t="s">
        <v>5</v>
      </c>
      <c r="F280">
        <v>5.46</v>
      </c>
      <c r="G280" t="s">
        <v>26</v>
      </c>
      <c r="H280" t="str">
        <f t="shared" si="32"/>
        <v>Passed</v>
      </c>
      <c r="I280" t="str">
        <f>IF(AND(Sheet1[[#This Row],[Attendance ]]&gt;65,Sheet1[[#This Row],[Attendance ]]&lt;75),"Yes","No")</f>
        <v>No</v>
      </c>
      <c r="J280" t="str">
        <f>IF(Sheet1[[#This Row],[Attendance ]]&lt;65,"Yes","No")</f>
        <v>No</v>
      </c>
    </row>
    <row r="281" spans="1:12" hidden="1" x14ac:dyDescent="0.35">
      <c r="A281" t="s">
        <v>322</v>
      </c>
      <c r="B281" t="s">
        <v>63</v>
      </c>
      <c r="C281" t="s">
        <v>20</v>
      </c>
      <c r="D281">
        <v>99</v>
      </c>
      <c r="E281" t="s">
        <v>5</v>
      </c>
      <c r="F281">
        <v>9.7799999999999994</v>
      </c>
      <c r="G281" t="s">
        <v>6</v>
      </c>
      <c r="H281" t="str">
        <f t="shared" si="32"/>
        <v>Passed</v>
      </c>
      <c r="I281" t="str">
        <f>IF(AND(Sheet1[[#This Row],[Attendance ]]&gt;65,Sheet1[[#This Row],[Attendance ]]&lt;75),"Yes","No")</f>
        <v>No</v>
      </c>
      <c r="J281" t="str">
        <f>IF(Sheet1[[#This Row],[Attendance ]]&lt;65,"Yes","No")</f>
        <v>No</v>
      </c>
    </row>
    <row r="282" spans="1:12" x14ac:dyDescent="0.35">
      <c r="A282" t="s">
        <v>323</v>
      </c>
      <c r="B282" t="s">
        <v>8</v>
      </c>
      <c r="C282" t="s">
        <v>9</v>
      </c>
      <c r="D282">
        <v>66.33</v>
      </c>
      <c r="E282" t="s">
        <v>5</v>
      </c>
      <c r="F282">
        <v>7.17</v>
      </c>
      <c r="G282" t="s">
        <v>28</v>
      </c>
      <c r="H282" t="str">
        <f t="shared" si="32"/>
        <v>Passed</v>
      </c>
      <c r="I282" t="str">
        <f>IF(AND(Sheet1[[#This Row],[Attendance ]]&gt;65,Sheet1[[#This Row],[Attendance ]]&lt;75),"Yes","No")</f>
        <v>Yes</v>
      </c>
      <c r="J282" t="str">
        <f>IF(Sheet1[[#This Row],[Attendance ]]&lt;65,"Yes","No")</f>
        <v>No</v>
      </c>
      <c r="K282" t="str">
        <f>CHOOSE(MOD(ROW()-2,8)+1,
"Kadapa",
"Ananthapur",
"Rayachoti",
"Nellore",
"Chittoor",
"Madanapalli",
"Rajampeta",
"Tirupati")</f>
        <v>Kadapa</v>
      </c>
      <c r="L282" t="str">
        <f>IF(AND(G280="4th Year",E280="Pass",F280&gt;=7),"Yes","No")</f>
        <v>No</v>
      </c>
    </row>
    <row r="283" spans="1:12" hidden="1" x14ac:dyDescent="0.35">
      <c r="A283" t="s">
        <v>324</v>
      </c>
      <c r="B283" t="s">
        <v>8</v>
      </c>
      <c r="C283" t="s">
        <v>9</v>
      </c>
      <c r="D283">
        <v>91.56</v>
      </c>
      <c r="E283" t="s">
        <v>5</v>
      </c>
      <c r="F283">
        <v>6.15</v>
      </c>
      <c r="G283" t="s">
        <v>6</v>
      </c>
      <c r="H283" t="str">
        <f t="shared" si="32"/>
        <v>Passed</v>
      </c>
      <c r="I283" t="str">
        <f>IF(AND(Sheet1[[#This Row],[Attendance ]]&gt;65,Sheet1[[#This Row],[Attendance ]]&lt;75),"Yes","No")</f>
        <v>No</v>
      </c>
      <c r="J283" t="str">
        <f>IF(Sheet1[[#This Row],[Attendance ]]&lt;65,"Yes","No")</f>
        <v>No</v>
      </c>
    </row>
    <row r="284" spans="1:12" hidden="1" x14ac:dyDescent="0.35">
      <c r="A284" t="s">
        <v>325</v>
      </c>
      <c r="B284" t="s">
        <v>77</v>
      </c>
      <c r="C284" t="s">
        <v>13</v>
      </c>
      <c r="D284">
        <v>94.31</v>
      </c>
      <c r="E284" t="s">
        <v>5</v>
      </c>
      <c r="F284">
        <v>5.65</v>
      </c>
      <c r="G284" t="s">
        <v>6</v>
      </c>
      <c r="H284" t="str">
        <f t="shared" si="32"/>
        <v>Passed</v>
      </c>
      <c r="I284" t="str">
        <f>IF(AND(Sheet1[[#This Row],[Attendance ]]&gt;65,Sheet1[[#This Row],[Attendance ]]&lt;75),"Yes","No")</f>
        <v>No</v>
      </c>
      <c r="J284" t="str">
        <f>IF(Sheet1[[#This Row],[Attendance ]]&lt;65,"Yes","No")</f>
        <v>No</v>
      </c>
    </row>
    <row r="285" spans="1:12" hidden="1" x14ac:dyDescent="0.35">
      <c r="A285" t="s">
        <v>326</v>
      </c>
      <c r="B285" t="s">
        <v>63</v>
      </c>
      <c r="C285" t="s">
        <v>4</v>
      </c>
      <c r="D285">
        <v>85.12</v>
      </c>
      <c r="E285" t="s">
        <v>5</v>
      </c>
      <c r="F285">
        <v>9.44</v>
      </c>
      <c r="G285" t="s">
        <v>26</v>
      </c>
      <c r="H285" t="str">
        <f t="shared" si="32"/>
        <v>Passed</v>
      </c>
      <c r="I285" t="str">
        <f>IF(AND(Sheet1[[#This Row],[Attendance ]]&gt;65,Sheet1[[#This Row],[Attendance ]]&lt;75),"Yes","No")</f>
        <v>No</v>
      </c>
      <c r="J285" t="str">
        <f>IF(Sheet1[[#This Row],[Attendance ]]&lt;65,"Yes","No")</f>
        <v>No</v>
      </c>
    </row>
    <row r="286" spans="1:12" x14ac:dyDescent="0.35">
      <c r="A286" t="s">
        <v>327</v>
      </c>
      <c r="B286" t="s">
        <v>34</v>
      </c>
      <c r="C286" t="s">
        <v>20</v>
      </c>
      <c r="D286">
        <v>67.11</v>
      </c>
      <c r="E286" t="s">
        <v>5</v>
      </c>
      <c r="F286">
        <v>9.6199999999999992</v>
      </c>
      <c r="G286" t="s">
        <v>26</v>
      </c>
      <c r="H286" t="str">
        <f t="shared" si="32"/>
        <v>Passed</v>
      </c>
      <c r="I286" t="str">
        <f>IF(AND(Sheet1[[#This Row],[Attendance ]]&gt;65,Sheet1[[#This Row],[Attendance ]]&lt;75),"Yes","No")</f>
        <v>Yes</v>
      </c>
      <c r="J286" t="str">
        <f>IF(Sheet1[[#This Row],[Attendance ]]&lt;65,"Yes","No")</f>
        <v>No</v>
      </c>
      <c r="K286" t="str">
        <f>CHOOSE(MOD(ROW()-2,8)+1,
"Kadapa",
"Ananthapur",
"Rayachoti",
"Nellore",
"Chittoor",
"Madanapalli",
"Rajampeta",
"Tirupati")</f>
        <v>Chittoor</v>
      </c>
      <c r="L286" t="str">
        <f>IF(AND(G284="4th Year",E284="Pass",F284&gt;=7),"Yes","No")</f>
        <v>No</v>
      </c>
    </row>
    <row r="287" spans="1:12" hidden="1" x14ac:dyDescent="0.35">
      <c r="A287" t="s">
        <v>328</v>
      </c>
      <c r="B287" t="s">
        <v>107</v>
      </c>
      <c r="C287" t="s">
        <v>35</v>
      </c>
      <c r="D287">
        <v>81.900000000000006</v>
      </c>
      <c r="E287" t="s">
        <v>10</v>
      </c>
      <c r="F287">
        <v>8.4600000000000009</v>
      </c>
      <c r="G287" t="s">
        <v>11</v>
      </c>
      <c r="H287" t="str">
        <f t="shared" si="32"/>
        <v>M1</v>
      </c>
      <c r="I287" t="str">
        <f>IF(AND(Sheet1[[#This Row],[Attendance ]]&gt;65,Sheet1[[#This Row],[Attendance ]]&lt;75),"Yes","No")</f>
        <v>No</v>
      </c>
      <c r="J287" t="str">
        <f>IF(Sheet1[[#This Row],[Attendance ]]&lt;65,"Yes","No")</f>
        <v>No</v>
      </c>
    </row>
    <row r="288" spans="1:12" hidden="1" x14ac:dyDescent="0.35">
      <c r="A288" t="s">
        <v>329</v>
      </c>
      <c r="B288" t="s">
        <v>88</v>
      </c>
      <c r="C288" t="s">
        <v>9</v>
      </c>
      <c r="D288">
        <v>85.46</v>
      </c>
      <c r="E288" t="s">
        <v>5</v>
      </c>
      <c r="F288">
        <v>6.01</v>
      </c>
      <c r="G288" t="s">
        <v>28</v>
      </c>
      <c r="H288" t="str">
        <f t="shared" si="32"/>
        <v>Passed</v>
      </c>
      <c r="I288" t="str">
        <f>IF(AND(Sheet1[[#This Row],[Attendance ]]&gt;65,Sheet1[[#This Row],[Attendance ]]&lt;75),"Yes","No")</f>
        <v>No</v>
      </c>
      <c r="J288" t="str">
        <f>IF(Sheet1[[#This Row],[Attendance ]]&lt;65,"Yes","No")</f>
        <v>No</v>
      </c>
    </row>
    <row r="289" spans="1:12" x14ac:dyDescent="0.35">
      <c r="A289" t="s">
        <v>330</v>
      </c>
      <c r="B289" t="s">
        <v>77</v>
      </c>
      <c r="C289" t="s">
        <v>20</v>
      </c>
      <c r="D289">
        <v>65.069999999999993</v>
      </c>
      <c r="E289" t="s">
        <v>5</v>
      </c>
      <c r="F289">
        <v>8.92</v>
      </c>
      <c r="G289" t="s">
        <v>6</v>
      </c>
      <c r="H289" t="str">
        <f t="shared" si="32"/>
        <v>Passed</v>
      </c>
      <c r="I289" t="str">
        <f>IF(AND(Sheet1[[#This Row],[Attendance ]]&gt;65,Sheet1[[#This Row],[Attendance ]]&lt;75),"Yes","No")</f>
        <v>Yes</v>
      </c>
      <c r="J289" t="str">
        <f>IF(Sheet1[[#This Row],[Attendance ]]&lt;65,"Yes","No")</f>
        <v>No</v>
      </c>
      <c r="K289" t="str">
        <f>CHOOSE(MOD(ROW()-2,8)+1,
"Kadapa",
"Ananthapur",
"Rayachoti",
"Nellore",
"Chittoor",
"Madanapalli",
"Rajampeta",
"Tirupati")</f>
        <v>Tirupati</v>
      </c>
      <c r="L289" t="str">
        <f>IF(AND(G287="4th Year",E287="Pass",F287&gt;=7),"Yes","No")</f>
        <v>No</v>
      </c>
    </row>
    <row r="290" spans="1:12" hidden="1" x14ac:dyDescent="0.35">
      <c r="A290" t="s">
        <v>331</v>
      </c>
      <c r="B290" t="s">
        <v>12</v>
      </c>
      <c r="C290" t="s">
        <v>9</v>
      </c>
      <c r="D290">
        <v>82.18</v>
      </c>
      <c r="E290" t="s">
        <v>5</v>
      </c>
      <c r="F290">
        <v>5.88</v>
      </c>
      <c r="G290" t="s">
        <v>11</v>
      </c>
      <c r="H290" t="str">
        <f t="shared" si="32"/>
        <v>Passed</v>
      </c>
      <c r="I290" t="str">
        <f>IF(AND(Sheet1[[#This Row],[Attendance ]]&gt;65,Sheet1[[#This Row],[Attendance ]]&lt;75),"Yes","No")</f>
        <v>No</v>
      </c>
      <c r="J290" t="str">
        <f>IF(Sheet1[[#This Row],[Attendance ]]&lt;65,"Yes","No")</f>
        <v>No</v>
      </c>
    </row>
    <row r="291" spans="1:12" hidden="1" x14ac:dyDescent="0.35">
      <c r="A291" t="s">
        <v>332</v>
      </c>
      <c r="B291" t="s">
        <v>110</v>
      </c>
      <c r="C291" t="s">
        <v>4</v>
      </c>
      <c r="D291">
        <v>87.45</v>
      </c>
      <c r="E291" t="s">
        <v>5</v>
      </c>
      <c r="F291">
        <v>8.5399999999999991</v>
      </c>
      <c r="G291" t="s">
        <v>28</v>
      </c>
      <c r="H291" t="str">
        <f t="shared" si="32"/>
        <v>Passed</v>
      </c>
      <c r="I291" t="str">
        <f>IF(AND(Sheet1[[#This Row],[Attendance ]]&gt;65,Sheet1[[#This Row],[Attendance ]]&lt;75),"Yes","No")</f>
        <v>No</v>
      </c>
      <c r="J291" t="str">
        <f>IF(Sheet1[[#This Row],[Attendance ]]&lt;65,"Yes","No")</f>
        <v>No</v>
      </c>
    </row>
    <row r="292" spans="1:12" hidden="1" x14ac:dyDescent="0.35">
      <c r="A292" t="s">
        <v>333</v>
      </c>
      <c r="B292" t="s">
        <v>3</v>
      </c>
      <c r="C292" t="s">
        <v>9</v>
      </c>
      <c r="D292">
        <v>79.44</v>
      </c>
      <c r="E292" t="s">
        <v>5</v>
      </c>
      <c r="F292">
        <v>7.45</v>
      </c>
      <c r="G292" t="s">
        <v>11</v>
      </c>
      <c r="H292" t="str">
        <f t="shared" si="32"/>
        <v>Passed</v>
      </c>
      <c r="I292" t="str">
        <f>IF(AND(Sheet1[[#This Row],[Attendance ]]&gt;65,Sheet1[[#This Row],[Attendance ]]&lt;75),"Yes","No")</f>
        <v>No</v>
      </c>
      <c r="J292" t="str">
        <f>IF(Sheet1[[#This Row],[Attendance ]]&lt;65,"Yes","No")</f>
        <v>No</v>
      </c>
    </row>
    <row r="293" spans="1:12" hidden="1" x14ac:dyDescent="0.35">
      <c r="A293" t="s">
        <v>334</v>
      </c>
      <c r="B293" t="s">
        <v>72</v>
      </c>
      <c r="C293" t="s">
        <v>9</v>
      </c>
      <c r="D293">
        <v>83.31</v>
      </c>
      <c r="E293" t="s">
        <v>5</v>
      </c>
      <c r="F293">
        <v>5.96</v>
      </c>
      <c r="G293" t="s">
        <v>11</v>
      </c>
      <c r="H293" t="str">
        <f t="shared" si="32"/>
        <v>Passed</v>
      </c>
      <c r="I293" t="str">
        <f>IF(AND(Sheet1[[#This Row],[Attendance ]]&gt;65,Sheet1[[#This Row],[Attendance ]]&lt;75),"Yes","No")</f>
        <v>No</v>
      </c>
      <c r="J293" t="str">
        <f>IF(Sheet1[[#This Row],[Attendance ]]&lt;65,"Yes","No")</f>
        <v>No</v>
      </c>
    </row>
    <row r="294" spans="1:12" x14ac:dyDescent="0.35">
      <c r="A294" t="s">
        <v>335</v>
      </c>
      <c r="B294" t="s">
        <v>3</v>
      </c>
      <c r="C294" t="s">
        <v>35</v>
      </c>
      <c r="D294">
        <v>70.38</v>
      </c>
      <c r="E294" t="s">
        <v>5</v>
      </c>
      <c r="F294">
        <v>5.0999999999999996</v>
      </c>
      <c r="G294" t="s">
        <v>26</v>
      </c>
      <c r="H294" t="str">
        <f t="shared" si="32"/>
        <v>Passed</v>
      </c>
      <c r="I294" t="str">
        <f>IF(AND(Sheet1[[#This Row],[Attendance ]]&gt;65,Sheet1[[#This Row],[Attendance ]]&lt;75),"Yes","No")</f>
        <v>Yes</v>
      </c>
      <c r="J294" t="str">
        <f>IF(Sheet1[[#This Row],[Attendance ]]&lt;65,"Yes","No")</f>
        <v>No</v>
      </c>
      <c r="K294" t="str">
        <f t="shared" ref="K294:K296" si="35">CHOOSE(MOD(ROW()-2,8)+1,
"Kadapa",
"Ananthapur",
"Rayachoti",
"Nellore",
"Chittoor",
"Madanapalli",
"Rajampeta",
"Tirupati")</f>
        <v>Chittoor</v>
      </c>
      <c r="L294" t="str">
        <f t="shared" ref="L294:L296" si="36">IF(AND(G292="4th Year",E292="Pass",F292&gt;=7),"Yes","No")</f>
        <v>No</v>
      </c>
    </row>
    <row r="295" spans="1:12" x14ac:dyDescent="0.35">
      <c r="A295" t="s">
        <v>336</v>
      </c>
      <c r="B295" t="s">
        <v>110</v>
      </c>
      <c r="C295" t="s">
        <v>35</v>
      </c>
      <c r="D295">
        <v>67.45</v>
      </c>
      <c r="E295" t="s">
        <v>5</v>
      </c>
      <c r="F295">
        <v>8.01</v>
      </c>
      <c r="G295" t="s">
        <v>11</v>
      </c>
      <c r="H295" t="str">
        <f t="shared" si="32"/>
        <v>Passed</v>
      </c>
      <c r="I295" t="str">
        <f>IF(AND(Sheet1[[#This Row],[Attendance ]]&gt;65,Sheet1[[#This Row],[Attendance ]]&lt;75),"Yes","No")</f>
        <v>Yes</v>
      </c>
      <c r="J295" t="str">
        <f>IF(Sheet1[[#This Row],[Attendance ]]&lt;65,"Yes","No")</f>
        <v>No</v>
      </c>
      <c r="K295" t="str">
        <f t="shared" si="35"/>
        <v>Madanapalli</v>
      </c>
      <c r="L295" t="str">
        <f t="shared" si="36"/>
        <v>No</v>
      </c>
    </row>
    <row r="296" spans="1:12" x14ac:dyDescent="0.35">
      <c r="A296" t="s">
        <v>337</v>
      </c>
      <c r="B296" t="s">
        <v>19</v>
      </c>
      <c r="C296" t="s">
        <v>20</v>
      </c>
      <c r="D296">
        <v>68.05</v>
      </c>
      <c r="E296" t="s">
        <v>5</v>
      </c>
      <c r="F296">
        <v>8.9600000000000009</v>
      </c>
      <c r="G296" t="s">
        <v>26</v>
      </c>
      <c r="H296" t="str">
        <f t="shared" si="32"/>
        <v>Passed</v>
      </c>
      <c r="I296" t="str">
        <f>IF(AND(Sheet1[[#This Row],[Attendance ]]&gt;65,Sheet1[[#This Row],[Attendance ]]&lt;75),"Yes","No")</f>
        <v>Yes</v>
      </c>
      <c r="J296" t="str">
        <f>IF(Sheet1[[#This Row],[Attendance ]]&lt;65,"Yes","No")</f>
        <v>No</v>
      </c>
      <c r="K296" t="str">
        <f t="shared" si="35"/>
        <v>Rajampeta</v>
      </c>
      <c r="L296" t="str">
        <f t="shared" si="36"/>
        <v>No</v>
      </c>
    </row>
    <row r="297" spans="1:12" hidden="1" x14ac:dyDescent="0.35">
      <c r="A297" t="s">
        <v>338</v>
      </c>
      <c r="B297" t="s">
        <v>103</v>
      </c>
      <c r="C297" t="s">
        <v>4</v>
      </c>
      <c r="D297">
        <v>77.59</v>
      </c>
      <c r="E297" t="s">
        <v>5</v>
      </c>
      <c r="F297">
        <v>5.37</v>
      </c>
      <c r="G297" t="s">
        <v>26</v>
      </c>
      <c r="H297" t="str">
        <f t="shared" si="32"/>
        <v>Passed</v>
      </c>
      <c r="I297" t="str">
        <f>IF(AND(Sheet1[[#This Row],[Attendance ]]&gt;65,Sheet1[[#This Row],[Attendance ]]&lt;75),"Yes","No")</f>
        <v>No</v>
      </c>
      <c r="J297" t="str">
        <f>IF(Sheet1[[#This Row],[Attendance ]]&lt;65,"Yes","No")</f>
        <v>No</v>
      </c>
    </row>
    <row r="298" spans="1:12" hidden="1" x14ac:dyDescent="0.35">
      <c r="A298" t="s">
        <v>339</v>
      </c>
      <c r="B298" t="s">
        <v>30</v>
      </c>
      <c r="C298" t="s">
        <v>13</v>
      </c>
      <c r="D298">
        <v>64.930000000000007</v>
      </c>
      <c r="E298" t="s">
        <v>5</v>
      </c>
      <c r="F298">
        <v>7.65</v>
      </c>
      <c r="G298" t="s">
        <v>26</v>
      </c>
      <c r="H298" t="str">
        <f t="shared" si="32"/>
        <v>Passed</v>
      </c>
      <c r="I298" t="str">
        <f>IF(AND(Sheet1[[#This Row],[Attendance ]]&gt;65,Sheet1[[#This Row],[Attendance ]]&lt;75),"Yes","No")</f>
        <v>No</v>
      </c>
      <c r="J298" t="str">
        <f>IF(Sheet1[[#This Row],[Attendance ]]&lt;65,"Yes","No")</f>
        <v>Yes</v>
      </c>
    </row>
    <row r="299" spans="1:12" x14ac:dyDescent="0.35">
      <c r="A299" t="s">
        <v>340</v>
      </c>
      <c r="B299" t="s">
        <v>72</v>
      </c>
      <c r="C299" t="s">
        <v>35</v>
      </c>
      <c r="D299">
        <v>74.83</v>
      </c>
      <c r="E299" t="s">
        <v>5</v>
      </c>
      <c r="F299">
        <v>9.0299999999999994</v>
      </c>
      <c r="G299" t="s">
        <v>26</v>
      </c>
      <c r="H299" t="str">
        <f t="shared" si="32"/>
        <v>Passed</v>
      </c>
      <c r="I299" t="str">
        <f>IF(AND(Sheet1[[#This Row],[Attendance ]]&gt;65,Sheet1[[#This Row],[Attendance ]]&lt;75),"Yes","No")</f>
        <v>Yes</v>
      </c>
      <c r="J299" t="str">
        <f>IF(Sheet1[[#This Row],[Attendance ]]&lt;65,"Yes","No")</f>
        <v>No</v>
      </c>
      <c r="K299" t="str">
        <f>CHOOSE(MOD(ROW()-2,8)+1,
"Kadapa",
"Ananthapur",
"Rayachoti",
"Nellore",
"Chittoor",
"Madanapalli",
"Rajampeta",
"Tirupati")</f>
        <v>Ananthapur</v>
      </c>
      <c r="L299" t="str">
        <f>IF(AND(G297="4th Year",E297="Pass",F297&gt;=7),"Yes","No")</f>
        <v>No</v>
      </c>
    </row>
    <row r="300" spans="1:12" hidden="1" x14ac:dyDescent="0.35">
      <c r="A300" t="s">
        <v>341</v>
      </c>
      <c r="B300" t="s">
        <v>149</v>
      </c>
      <c r="C300" t="s">
        <v>35</v>
      </c>
      <c r="D300">
        <v>88.26</v>
      </c>
      <c r="E300" t="s">
        <v>5</v>
      </c>
      <c r="F300">
        <v>7.94</v>
      </c>
      <c r="G300" t="s">
        <v>11</v>
      </c>
      <c r="H300" t="str">
        <f t="shared" si="32"/>
        <v>Passed</v>
      </c>
      <c r="I300" t="str">
        <f>IF(AND(Sheet1[[#This Row],[Attendance ]]&gt;65,Sheet1[[#This Row],[Attendance ]]&lt;75),"Yes","No")</f>
        <v>No</v>
      </c>
      <c r="J300" t="str">
        <f>IF(Sheet1[[#This Row],[Attendance ]]&lt;65,"Yes","No")</f>
        <v>No</v>
      </c>
    </row>
    <row r="301" spans="1:12" hidden="1" x14ac:dyDescent="0.35">
      <c r="A301" t="s">
        <v>342</v>
      </c>
      <c r="B301" t="s">
        <v>17</v>
      </c>
      <c r="C301" t="s">
        <v>4</v>
      </c>
      <c r="D301">
        <v>92.78</v>
      </c>
      <c r="E301" t="s">
        <v>5</v>
      </c>
      <c r="F301">
        <v>7.68</v>
      </c>
      <c r="G301" t="s">
        <v>6</v>
      </c>
      <c r="H301" t="str">
        <f t="shared" si="32"/>
        <v>Passed</v>
      </c>
      <c r="I301" t="str">
        <f>IF(AND(Sheet1[[#This Row],[Attendance ]]&gt;65,Sheet1[[#This Row],[Attendance ]]&lt;75),"Yes","No")</f>
        <v>No</v>
      </c>
      <c r="J301" t="str">
        <f>IF(Sheet1[[#This Row],[Attendance ]]&lt;65,"Yes","No")</f>
        <v>No</v>
      </c>
    </row>
    <row r="302" spans="1:12" hidden="1" x14ac:dyDescent="0.35">
      <c r="A302" t="s">
        <v>343</v>
      </c>
      <c r="B302" t="s">
        <v>77</v>
      </c>
      <c r="C302" t="s">
        <v>23</v>
      </c>
      <c r="D302">
        <v>63.72</v>
      </c>
      <c r="E302" t="s">
        <v>5</v>
      </c>
      <c r="F302">
        <v>8.5399999999999991</v>
      </c>
      <c r="G302" t="s">
        <v>11</v>
      </c>
      <c r="H302" t="str">
        <f t="shared" si="32"/>
        <v>Passed</v>
      </c>
      <c r="I302" t="str">
        <f>IF(AND(Sheet1[[#This Row],[Attendance ]]&gt;65,Sheet1[[#This Row],[Attendance ]]&lt;75),"Yes","No")</f>
        <v>No</v>
      </c>
      <c r="J302" t="str">
        <f>IF(Sheet1[[#This Row],[Attendance ]]&lt;65,"Yes","No")</f>
        <v>Yes</v>
      </c>
    </row>
    <row r="303" spans="1:12" hidden="1" x14ac:dyDescent="0.35">
      <c r="A303" t="s">
        <v>344</v>
      </c>
      <c r="B303" t="s">
        <v>98</v>
      </c>
      <c r="C303" t="s">
        <v>23</v>
      </c>
      <c r="D303">
        <v>86.04</v>
      </c>
      <c r="E303" t="s">
        <v>5</v>
      </c>
      <c r="F303">
        <v>5.07</v>
      </c>
      <c r="G303" t="s">
        <v>11</v>
      </c>
      <c r="H303" t="str">
        <f t="shared" si="32"/>
        <v>Passed</v>
      </c>
      <c r="I303" t="str">
        <f>IF(AND(Sheet1[[#This Row],[Attendance ]]&gt;65,Sheet1[[#This Row],[Attendance ]]&lt;75),"Yes","No")</f>
        <v>No</v>
      </c>
      <c r="J303" t="str">
        <f>IF(Sheet1[[#This Row],[Attendance ]]&lt;65,"Yes","No")</f>
        <v>No</v>
      </c>
    </row>
    <row r="304" spans="1:12" x14ac:dyDescent="0.35">
      <c r="A304" t="s">
        <v>345</v>
      </c>
      <c r="B304" t="s">
        <v>45</v>
      </c>
      <c r="C304" t="s">
        <v>13</v>
      </c>
      <c r="D304">
        <v>71.7</v>
      </c>
      <c r="E304" t="s">
        <v>5</v>
      </c>
      <c r="F304">
        <v>5.0599999999999996</v>
      </c>
      <c r="G304" t="s">
        <v>11</v>
      </c>
      <c r="H304" t="str">
        <f t="shared" si="32"/>
        <v>Passed</v>
      </c>
      <c r="I304" t="str">
        <f>IF(AND(Sheet1[[#This Row],[Attendance ]]&gt;65,Sheet1[[#This Row],[Attendance ]]&lt;75),"Yes","No")</f>
        <v>Yes</v>
      </c>
      <c r="J304" t="str">
        <f>IF(Sheet1[[#This Row],[Attendance ]]&lt;65,"Yes","No")</f>
        <v>No</v>
      </c>
      <c r="K304" t="str">
        <f>CHOOSE(MOD(ROW()-2,8)+1,
"Kadapa",
"Ananthapur",
"Rayachoti",
"Nellore",
"Chittoor",
"Madanapalli",
"Rajampeta",
"Tirupati")</f>
        <v>Rajampeta</v>
      </c>
      <c r="L304" t="str">
        <f>IF(AND(G302="4th Year",E302="Pass",F302&gt;=7),"Yes","No")</f>
        <v>No</v>
      </c>
    </row>
    <row r="305" spans="1:12" hidden="1" x14ac:dyDescent="0.35">
      <c r="A305" t="s">
        <v>346</v>
      </c>
      <c r="B305" t="s">
        <v>19</v>
      </c>
      <c r="C305" t="s">
        <v>23</v>
      </c>
      <c r="D305">
        <v>88.72</v>
      </c>
      <c r="E305" t="s">
        <v>5</v>
      </c>
      <c r="F305">
        <v>7.16</v>
      </c>
      <c r="G305" t="s">
        <v>11</v>
      </c>
      <c r="H305" t="str">
        <f t="shared" si="32"/>
        <v>Passed</v>
      </c>
      <c r="I305" t="str">
        <f>IF(AND(Sheet1[[#This Row],[Attendance ]]&gt;65,Sheet1[[#This Row],[Attendance ]]&lt;75),"Yes","No")</f>
        <v>No</v>
      </c>
      <c r="J305" t="str">
        <f>IF(Sheet1[[#This Row],[Attendance ]]&lt;65,"Yes","No")</f>
        <v>No</v>
      </c>
    </row>
    <row r="306" spans="1:12" hidden="1" x14ac:dyDescent="0.35">
      <c r="A306" t="s">
        <v>347</v>
      </c>
      <c r="B306" t="s">
        <v>88</v>
      </c>
      <c r="C306" t="s">
        <v>4</v>
      </c>
      <c r="D306">
        <v>83.07</v>
      </c>
      <c r="E306" t="s">
        <v>5</v>
      </c>
      <c r="F306">
        <v>6.94</v>
      </c>
      <c r="G306" t="s">
        <v>6</v>
      </c>
      <c r="H306" t="str">
        <f t="shared" si="32"/>
        <v>Passed</v>
      </c>
      <c r="I306" t="str">
        <f>IF(AND(Sheet1[[#This Row],[Attendance ]]&gt;65,Sheet1[[#This Row],[Attendance ]]&lt;75),"Yes","No")</f>
        <v>No</v>
      </c>
      <c r="J306" t="str">
        <f>IF(Sheet1[[#This Row],[Attendance ]]&lt;65,"Yes","No")</f>
        <v>No</v>
      </c>
    </row>
    <row r="307" spans="1:12" hidden="1" x14ac:dyDescent="0.35">
      <c r="A307" t="s">
        <v>348</v>
      </c>
      <c r="B307" t="s">
        <v>103</v>
      </c>
      <c r="C307" t="s">
        <v>35</v>
      </c>
      <c r="D307">
        <v>78.36</v>
      </c>
      <c r="E307" t="s">
        <v>5</v>
      </c>
      <c r="F307">
        <v>7.67</v>
      </c>
      <c r="G307" t="s">
        <v>11</v>
      </c>
      <c r="H307" t="str">
        <f t="shared" si="32"/>
        <v>Passed</v>
      </c>
      <c r="I307" t="str">
        <f>IF(AND(Sheet1[[#This Row],[Attendance ]]&gt;65,Sheet1[[#This Row],[Attendance ]]&lt;75),"Yes","No")</f>
        <v>No</v>
      </c>
      <c r="J307" t="str">
        <f>IF(Sheet1[[#This Row],[Attendance ]]&lt;65,"Yes","No")</f>
        <v>No</v>
      </c>
    </row>
    <row r="308" spans="1:12" hidden="1" x14ac:dyDescent="0.35">
      <c r="A308" t="s">
        <v>349</v>
      </c>
      <c r="B308" t="s">
        <v>164</v>
      </c>
      <c r="C308" t="s">
        <v>13</v>
      </c>
      <c r="D308">
        <v>81.92</v>
      </c>
      <c r="E308" t="s">
        <v>5</v>
      </c>
      <c r="F308">
        <v>6.05</v>
      </c>
      <c r="G308" t="s">
        <v>28</v>
      </c>
      <c r="H308" t="str">
        <f t="shared" si="32"/>
        <v>Passed</v>
      </c>
      <c r="I308" t="str">
        <f>IF(AND(Sheet1[[#This Row],[Attendance ]]&gt;65,Sheet1[[#This Row],[Attendance ]]&lt;75),"Yes","No")</f>
        <v>No</v>
      </c>
      <c r="J308" t="str">
        <f>IF(Sheet1[[#This Row],[Attendance ]]&lt;65,"Yes","No")</f>
        <v>No</v>
      </c>
    </row>
    <row r="309" spans="1:12" x14ac:dyDescent="0.35">
      <c r="A309" t="s">
        <v>350</v>
      </c>
      <c r="B309" t="s">
        <v>34</v>
      </c>
      <c r="C309" t="s">
        <v>23</v>
      </c>
      <c r="D309">
        <v>74.260000000000005</v>
      </c>
      <c r="E309" t="s">
        <v>5</v>
      </c>
      <c r="F309">
        <v>5.64</v>
      </c>
      <c r="G309" t="s">
        <v>11</v>
      </c>
      <c r="H309" t="str">
        <f t="shared" si="32"/>
        <v>Passed</v>
      </c>
      <c r="I309" t="str">
        <f>IF(AND(Sheet1[[#This Row],[Attendance ]]&gt;65,Sheet1[[#This Row],[Attendance ]]&lt;75),"Yes","No")</f>
        <v>Yes</v>
      </c>
      <c r="J309" t="str">
        <f>IF(Sheet1[[#This Row],[Attendance ]]&lt;65,"Yes","No")</f>
        <v>No</v>
      </c>
      <c r="K309" t="str">
        <f>CHOOSE(MOD(ROW()-2,8)+1,
"Kadapa",
"Ananthapur",
"Rayachoti",
"Nellore",
"Chittoor",
"Madanapalli",
"Rajampeta",
"Tirupati")</f>
        <v>Nellore</v>
      </c>
      <c r="L309" t="str">
        <f>IF(AND(G307="4th Year",E307="Pass",F307&gt;=7),"Yes","No")</f>
        <v>No</v>
      </c>
    </row>
    <row r="310" spans="1:12" hidden="1" x14ac:dyDescent="0.35">
      <c r="A310" t="s">
        <v>351</v>
      </c>
      <c r="B310" t="s">
        <v>43</v>
      </c>
      <c r="C310" t="s">
        <v>35</v>
      </c>
      <c r="D310">
        <v>98.69</v>
      </c>
      <c r="E310" t="s">
        <v>5</v>
      </c>
      <c r="F310">
        <v>6.75</v>
      </c>
      <c r="G310" t="s">
        <v>26</v>
      </c>
      <c r="H310" t="str">
        <f t="shared" si="32"/>
        <v>Passed</v>
      </c>
      <c r="I310" t="str">
        <f>IF(AND(Sheet1[[#This Row],[Attendance ]]&gt;65,Sheet1[[#This Row],[Attendance ]]&lt;75),"Yes","No")</f>
        <v>No</v>
      </c>
      <c r="J310" t="str">
        <f>IF(Sheet1[[#This Row],[Attendance ]]&lt;65,"Yes","No")</f>
        <v>No</v>
      </c>
    </row>
    <row r="311" spans="1:12" hidden="1" x14ac:dyDescent="0.35">
      <c r="A311" t="s">
        <v>352</v>
      </c>
      <c r="B311" t="s">
        <v>34</v>
      </c>
      <c r="C311" t="s">
        <v>4</v>
      </c>
      <c r="D311">
        <v>90.75</v>
      </c>
      <c r="E311" t="s">
        <v>5</v>
      </c>
      <c r="F311">
        <v>6.44</v>
      </c>
      <c r="G311" t="s">
        <v>26</v>
      </c>
      <c r="H311" t="str">
        <f t="shared" si="32"/>
        <v>Passed</v>
      </c>
      <c r="I311" t="str">
        <f>IF(AND(Sheet1[[#This Row],[Attendance ]]&gt;65,Sheet1[[#This Row],[Attendance ]]&lt;75),"Yes","No")</f>
        <v>No</v>
      </c>
      <c r="J311" t="str">
        <f>IF(Sheet1[[#This Row],[Attendance ]]&lt;65,"Yes","No")</f>
        <v>No</v>
      </c>
    </row>
    <row r="312" spans="1:12" hidden="1" x14ac:dyDescent="0.35">
      <c r="A312" t="s">
        <v>353</v>
      </c>
      <c r="B312" t="s">
        <v>70</v>
      </c>
      <c r="C312" t="s">
        <v>35</v>
      </c>
      <c r="D312">
        <v>64.13</v>
      </c>
      <c r="E312" t="s">
        <v>5</v>
      </c>
      <c r="F312">
        <v>7.37</v>
      </c>
      <c r="G312" t="s">
        <v>6</v>
      </c>
      <c r="H312" t="str">
        <f t="shared" si="32"/>
        <v>Passed</v>
      </c>
      <c r="I312" t="str">
        <f>IF(AND(Sheet1[[#This Row],[Attendance ]]&gt;65,Sheet1[[#This Row],[Attendance ]]&lt;75),"Yes","No")</f>
        <v>No</v>
      </c>
      <c r="J312" t="str">
        <f>IF(Sheet1[[#This Row],[Attendance ]]&lt;65,"Yes","No")</f>
        <v>Yes</v>
      </c>
    </row>
    <row r="313" spans="1:12" hidden="1" x14ac:dyDescent="0.35">
      <c r="A313" t="s">
        <v>354</v>
      </c>
      <c r="B313" t="s">
        <v>45</v>
      </c>
      <c r="C313" t="s">
        <v>13</v>
      </c>
      <c r="D313">
        <v>98.01</v>
      </c>
      <c r="E313" t="s">
        <v>5</v>
      </c>
      <c r="F313">
        <v>7.06</v>
      </c>
      <c r="G313" t="s">
        <v>28</v>
      </c>
      <c r="H313" t="str">
        <f t="shared" si="32"/>
        <v>Passed</v>
      </c>
      <c r="I313" t="str">
        <f>IF(AND(Sheet1[[#This Row],[Attendance ]]&gt;65,Sheet1[[#This Row],[Attendance ]]&lt;75),"Yes","No")</f>
        <v>No</v>
      </c>
      <c r="J313" t="str">
        <f>IF(Sheet1[[#This Row],[Attendance ]]&lt;65,"Yes","No")</f>
        <v>No</v>
      </c>
    </row>
    <row r="314" spans="1:12" x14ac:dyDescent="0.35">
      <c r="A314" t="s">
        <v>355</v>
      </c>
      <c r="B314" t="s">
        <v>37</v>
      </c>
      <c r="C314" t="s">
        <v>13</v>
      </c>
      <c r="D314">
        <v>69.569999999999993</v>
      </c>
      <c r="E314" t="s">
        <v>10</v>
      </c>
      <c r="F314">
        <v>8.9700000000000006</v>
      </c>
      <c r="G314" t="s">
        <v>11</v>
      </c>
      <c r="H314" t="str">
        <f t="shared" si="32"/>
        <v>M1</v>
      </c>
      <c r="I314" t="str">
        <f>IF(AND(Sheet1[[#This Row],[Attendance ]]&gt;65,Sheet1[[#This Row],[Attendance ]]&lt;75),"Yes","No")</f>
        <v>Yes</v>
      </c>
      <c r="J314" t="str">
        <f>IF(Sheet1[[#This Row],[Attendance ]]&lt;65,"Yes","No")</f>
        <v>No</v>
      </c>
      <c r="K314" t="str">
        <f>CHOOSE(MOD(ROW()-2,8)+1,
"Kadapa",
"Ananthapur",
"Rayachoti",
"Nellore",
"Chittoor",
"Madanapalli",
"Rajampeta",
"Tirupati")</f>
        <v>Kadapa</v>
      </c>
      <c r="L314" t="str">
        <f>IF(AND(G312="4th Year",E312="Pass",F312&gt;=7),"Yes","No")</f>
        <v>No</v>
      </c>
    </row>
    <row r="315" spans="1:12" hidden="1" x14ac:dyDescent="0.35">
      <c r="A315" t="s">
        <v>356</v>
      </c>
      <c r="B315" t="s">
        <v>88</v>
      </c>
      <c r="C315" t="s">
        <v>35</v>
      </c>
      <c r="D315">
        <v>91.79</v>
      </c>
      <c r="E315" t="s">
        <v>5</v>
      </c>
      <c r="F315">
        <v>5.78</v>
      </c>
      <c r="G315" t="s">
        <v>28</v>
      </c>
      <c r="H315" t="str">
        <f t="shared" si="32"/>
        <v>Passed</v>
      </c>
      <c r="I315" t="str">
        <f>IF(AND(Sheet1[[#This Row],[Attendance ]]&gt;65,Sheet1[[#This Row],[Attendance ]]&lt;75),"Yes","No")</f>
        <v>No</v>
      </c>
      <c r="J315" t="str">
        <f>IF(Sheet1[[#This Row],[Attendance ]]&lt;65,"Yes","No")</f>
        <v>No</v>
      </c>
    </row>
    <row r="316" spans="1:12" hidden="1" x14ac:dyDescent="0.35">
      <c r="A316" t="s">
        <v>357</v>
      </c>
      <c r="B316" t="s">
        <v>22</v>
      </c>
      <c r="C316" t="s">
        <v>35</v>
      </c>
      <c r="D316">
        <v>60.37</v>
      </c>
      <c r="E316" t="s">
        <v>5</v>
      </c>
      <c r="F316">
        <v>6.16</v>
      </c>
      <c r="G316" t="s">
        <v>6</v>
      </c>
      <c r="H316" t="str">
        <f t="shared" si="32"/>
        <v>Passed</v>
      </c>
      <c r="I316" t="str">
        <f>IF(AND(Sheet1[[#This Row],[Attendance ]]&gt;65,Sheet1[[#This Row],[Attendance ]]&lt;75),"Yes","No")</f>
        <v>No</v>
      </c>
      <c r="J316" t="str">
        <f>IF(Sheet1[[#This Row],[Attendance ]]&lt;65,"Yes","No")</f>
        <v>Yes</v>
      </c>
    </row>
    <row r="317" spans="1:12" hidden="1" x14ac:dyDescent="0.35">
      <c r="A317" t="s">
        <v>358</v>
      </c>
      <c r="B317" t="s">
        <v>107</v>
      </c>
      <c r="C317" t="s">
        <v>35</v>
      </c>
      <c r="D317">
        <v>92.51</v>
      </c>
      <c r="E317" t="s">
        <v>5</v>
      </c>
      <c r="F317">
        <v>8.33</v>
      </c>
      <c r="G317" t="s">
        <v>11</v>
      </c>
      <c r="H317" t="str">
        <f t="shared" si="32"/>
        <v>Passed</v>
      </c>
      <c r="I317" t="str">
        <f>IF(AND(Sheet1[[#This Row],[Attendance ]]&gt;65,Sheet1[[#This Row],[Attendance ]]&lt;75),"Yes","No")</f>
        <v>No</v>
      </c>
      <c r="J317" t="str">
        <f>IF(Sheet1[[#This Row],[Attendance ]]&lt;65,"Yes","No")</f>
        <v>No</v>
      </c>
    </row>
    <row r="318" spans="1:12" x14ac:dyDescent="0.35">
      <c r="A318" t="s">
        <v>359</v>
      </c>
      <c r="B318" t="s">
        <v>34</v>
      </c>
      <c r="C318" t="s">
        <v>13</v>
      </c>
      <c r="D318">
        <v>70.86</v>
      </c>
      <c r="E318" t="s">
        <v>5</v>
      </c>
      <c r="F318">
        <v>9.43</v>
      </c>
      <c r="G318" t="s">
        <v>28</v>
      </c>
      <c r="H318" t="str">
        <f t="shared" si="32"/>
        <v>Passed</v>
      </c>
      <c r="I318" t="str">
        <f>IF(AND(Sheet1[[#This Row],[Attendance ]]&gt;65,Sheet1[[#This Row],[Attendance ]]&lt;75),"Yes","No")</f>
        <v>Yes</v>
      </c>
      <c r="J318" t="str">
        <f>IF(Sheet1[[#This Row],[Attendance ]]&lt;65,"Yes","No")</f>
        <v>No</v>
      </c>
      <c r="K318" t="str">
        <f>CHOOSE(MOD(ROW()-2,8)+1,
"Kadapa",
"Ananthapur",
"Rayachoti",
"Nellore",
"Chittoor",
"Madanapalli",
"Rajampeta",
"Tirupati")</f>
        <v>Chittoor</v>
      </c>
      <c r="L318" t="str">
        <f>IF(AND(G316="4th Year",E316="Pass",F316&gt;=7),"Yes","No")</f>
        <v>No</v>
      </c>
    </row>
    <row r="319" spans="1:12" hidden="1" x14ac:dyDescent="0.35">
      <c r="A319" t="s">
        <v>360</v>
      </c>
      <c r="B319" t="s">
        <v>72</v>
      </c>
      <c r="C319" t="s">
        <v>13</v>
      </c>
      <c r="D319">
        <v>80.709999999999994</v>
      </c>
      <c r="E319" t="s">
        <v>5</v>
      </c>
      <c r="F319">
        <v>6.78</v>
      </c>
      <c r="G319" t="s">
        <v>26</v>
      </c>
      <c r="H319" t="str">
        <f t="shared" si="32"/>
        <v>Passed</v>
      </c>
      <c r="I319" t="str">
        <f>IF(AND(Sheet1[[#This Row],[Attendance ]]&gt;65,Sheet1[[#This Row],[Attendance ]]&lt;75),"Yes","No")</f>
        <v>No</v>
      </c>
      <c r="J319" t="str">
        <f>IF(Sheet1[[#This Row],[Attendance ]]&lt;65,"Yes","No")</f>
        <v>No</v>
      </c>
    </row>
    <row r="320" spans="1:12" hidden="1" x14ac:dyDescent="0.35">
      <c r="A320" t="s">
        <v>361</v>
      </c>
      <c r="B320" t="s">
        <v>3</v>
      </c>
      <c r="C320" t="s">
        <v>20</v>
      </c>
      <c r="D320">
        <v>61.24</v>
      </c>
      <c r="E320" t="s">
        <v>5</v>
      </c>
      <c r="F320">
        <v>9.5500000000000007</v>
      </c>
      <c r="G320" t="s">
        <v>11</v>
      </c>
      <c r="H320" t="str">
        <f t="shared" si="32"/>
        <v>Passed</v>
      </c>
      <c r="I320" t="str">
        <f>IF(AND(Sheet1[[#This Row],[Attendance ]]&gt;65,Sheet1[[#This Row],[Attendance ]]&lt;75),"Yes","No")</f>
        <v>No</v>
      </c>
      <c r="J320" t="str">
        <f>IF(Sheet1[[#This Row],[Attendance ]]&lt;65,"Yes","No")</f>
        <v>Yes</v>
      </c>
    </row>
    <row r="321" spans="1:12" x14ac:dyDescent="0.35">
      <c r="A321" t="s">
        <v>362</v>
      </c>
      <c r="B321" t="s">
        <v>15</v>
      </c>
      <c r="C321" t="s">
        <v>13</v>
      </c>
      <c r="D321">
        <v>72.31</v>
      </c>
      <c r="E321" t="s">
        <v>5</v>
      </c>
      <c r="F321">
        <v>5.18</v>
      </c>
      <c r="G321" t="s">
        <v>6</v>
      </c>
      <c r="H321" t="str">
        <f t="shared" si="32"/>
        <v>Passed</v>
      </c>
      <c r="I321" t="str">
        <f>IF(AND(Sheet1[[#This Row],[Attendance ]]&gt;65,Sheet1[[#This Row],[Attendance ]]&lt;75),"Yes","No")</f>
        <v>Yes</v>
      </c>
      <c r="J321" t="str">
        <f>IF(Sheet1[[#This Row],[Attendance ]]&lt;65,"Yes","No")</f>
        <v>No</v>
      </c>
      <c r="K321" t="str">
        <f t="shared" ref="K321:K322" si="37">CHOOSE(MOD(ROW()-2,8)+1,
"Kadapa",
"Ananthapur",
"Rayachoti",
"Nellore",
"Chittoor",
"Madanapalli",
"Rajampeta",
"Tirupati")</f>
        <v>Tirupati</v>
      </c>
      <c r="L321" t="str">
        <f t="shared" ref="L321:L322" si="38">IF(AND(G319="4th Year",E319="Pass",F319&gt;=7),"Yes","No")</f>
        <v>No</v>
      </c>
    </row>
    <row r="322" spans="1:12" x14ac:dyDescent="0.35">
      <c r="A322" t="s">
        <v>363</v>
      </c>
      <c r="B322" t="s">
        <v>15</v>
      </c>
      <c r="C322" t="s">
        <v>23</v>
      </c>
      <c r="D322">
        <v>72.42</v>
      </c>
      <c r="E322" t="s">
        <v>10</v>
      </c>
      <c r="F322">
        <v>9.52</v>
      </c>
      <c r="G322" t="s">
        <v>6</v>
      </c>
      <c r="H322" t="str">
        <f t="shared" ref="H322:H385" si="39">IF(E322="Pass","Passed",
IF(G322="1st Year","M1",
IF(G322="2nd Year","DBMS",
IF(G322="3rd Year","Machine Learning",
IF(G322="4th Year","Deep Learning","")))))</f>
        <v>DBMS</v>
      </c>
      <c r="I322" t="str">
        <f>IF(AND(Sheet1[[#This Row],[Attendance ]]&gt;65,Sheet1[[#This Row],[Attendance ]]&lt;75),"Yes","No")</f>
        <v>Yes</v>
      </c>
      <c r="J322" t="str">
        <f>IF(Sheet1[[#This Row],[Attendance ]]&lt;65,"Yes","No")</f>
        <v>No</v>
      </c>
      <c r="K322" t="str">
        <f t="shared" si="37"/>
        <v>Kadapa</v>
      </c>
      <c r="L322" t="str">
        <f t="shared" si="38"/>
        <v>No</v>
      </c>
    </row>
    <row r="323" spans="1:12" hidden="1" x14ac:dyDescent="0.35">
      <c r="A323" t="s">
        <v>364</v>
      </c>
      <c r="B323" t="s">
        <v>32</v>
      </c>
      <c r="C323" t="s">
        <v>13</v>
      </c>
      <c r="D323">
        <v>82.14</v>
      </c>
      <c r="E323" t="s">
        <v>5</v>
      </c>
      <c r="F323">
        <v>5.08</v>
      </c>
      <c r="G323" t="s">
        <v>26</v>
      </c>
      <c r="H323" t="str">
        <f t="shared" si="39"/>
        <v>Passed</v>
      </c>
      <c r="I323" t="str">
        <f>IF(AND(Sheet1[[#This Row],[Attendance ]]&gt;65,Sheet1[[#This Row],[Attendance ]]&lt;75),"Yes","No")</f>
        <v>No</v>
      </c>
      <c r="J323" t="str">
        <f>IF(Sheet1[[#This Row],[Attendance ]]&lt;65,"Yes","No")</f>
        <v>No</v>
      </c>
    </row>
    <row r="324" spans="1:12" hidden="1" x14ac:dyDescent="0.35">
      <c r="A324" t="s">
        <v>365</v>
      </c>
      <c r="B324" t="s">
        <v>8</v>
      </c>
      <c r="C324" t="s">
        <v>23</v>
      </c>
      <c r="D324">
        <v>82.41</v>
      </c>
      <c r="E324" t="s">
        <v>5</v>
      </c>
      <c r="F324">
        <v>6.06</v>
      </c>
      <c r="G324" t="s">
        <v>11</v>
      </c>
      <c r="H324" t="str">
        <f t="shared" si="39"/>
        <v>Passed</v>
      </c>
      <c r="I324" t="str">
        <f>IF(AND(Sheet1[[#This Row],[Attendance ]]&gt;65,Sheet1[[#This Row],[Attendance ]]&lt;75),"Yes","No")</f>
        <v>No</v>
      </c>
      <c r="J324" t="str">
        <f>IF(Sheet1[[#This Row],[Attendance ]]&lt;65,"Yes","No")</f>
        <v>No</v>
      </c>
    </row>
    <row r="325" spans="1:12" hidden="1" x14ac:dyDescent="0.35">
      <c r="A325" t="s">
        <v>366</v>
      </c>
      <c r="B325" t="s">
        <v>107</v>
      </c>
      <c r="C325" t="s">
        <v>23</v>
      </c>
      <c r="D325">
        <v>79.45</v>
      </c>
      <c r="E325" t="s">
        <v>5</v>
      </c>
      <c r="F325">
        <v>9.01</v>
      </c>
      <c r="G325" t="s">
        <v>11</v>
      </c>
      <c r="H325" t="str">
        <f t="shared" si="39"/>
        <v>Passed</v>
      </c>
      <c r="I325" t="str">
        <f>IF(AND(Sheet1[[#This Row],[Attendance ]]&gt;65,Sheet1[[#This Row],[Attendance ]]&lt;75),"Yes","No")</f>
        <v>No</v>
      </c>
      <c r="J325" t="str">
        <f>IF(Sheet1[[#This Row],[Attendance ]]&lt;65,"Yes","No")</f>
        <v>No</v>
      </c>
    </row>
    <row r="326" spans="1:12" hidden="1" x14ac:dyDescent="0.35">
      <c r="A326" t="s">
        <v>367</v>
      </c>
      <c r="B326" t="s">
        <v>70</v>
      </c>
      <c r="C326" t="s">
        <v>20</v>
      </c>
      <c r="D326">
        <v>92.84</v>
      </c>
      <c r="E326" t="s">
        <v>5</v>
      </c>
      <c r="F326">
        <v>6.41</v>
      </c>
      <c r="G326" t="s">
        <v>6</v>
      </c>
      <c r="H326" t="str">
        <f t="shared" si="39"/>
        <v>Passed</v>
      </c>
      <c r="I326" t="str">
        <f>IF(AND(Sheet1[[#This Row],[Attendance ]]&gt;65,Sheet1[[#This Row],[Attendance ]]&lt;75),"Yes","No")</f>
        <v>No</v>
      </c>
      <c r="J326" t="str">
        <f>IF(Sheet1[[#This Row],[Attendance ]]&lt;65,"Yes","No")</f>
        <v>No</v>
      </c>
    </row>
    <row r="327" spans="1:12" hidden="1" x14ac:dyDescent="0.35">
      <c r="A327" t="s">
        <v>368</v>
      </c>
      <c r="B327" t="s">
        <v>3</v>
      </c>
      <c r="C327" t="s">
        <v>4</v>
      </c>
      <c r="D327">
        <v>62.29</v>
      </c>
      <c r="E327" t="s">
        <v>5</v>
      </c>
      <c r="F327">
        <v>5.05</v>
      </c>
      <c r="G327" t="s">
        <v>6</v>
      </c>
      <c r="H327" t="str">
        <f t="shared" si="39"/>
        <v>Passed</v>
      </c>
      <c r="I327" t="str">
        <f>IF(AND(Sheet1[[#This Row],[Attendance ]]&gt;65,Sheet1[[#This Row],[Attendance ]]&lt;75),"Yes","No")</f>
        <v>No</v>
      </c>
      <c r="J327" t="str">
        <f>IF(Sheet1[[#This Row],[Attendance ]]&lt;65,"Yes","No")</f>
        <v>Yes</v>
      </c>
    </row>
    <row r="328" spans="1:12" hidden="1" x14ac:dyDescent="0.35">
      <c r="A328" t="s">
        <v>369</v>
      </c>
      <c r="B328" t="s">
        <v>98</v>
      </c>
      <c r="C328" t="s">
        <v>23</v>
      </c>
      <c r="D328">
        <v>86.4</v>
      </c>
      <c r="E328" t="s">
        <v>5</v>
      </c>
      <c r="F328">
        <v>5.83</v>
      </c>
      <c r="G328" t="s">
        <v>6</v>
      </c>
      <c r="H328" t="str">
        <f t="shared" si="39"/>
        <v>Passed</v>
      </c>
      <c r="I328" t="str">
        <f>IF(AND(Sheet1[[#This Row],[Attendance ]]&gt;65,Sheet1[[#This Row],[Attendance ]]&lt;75),"Yes","No")</f>
        <v>No</v>
      </c>
      <c r="J328" t="str">
        <f>IF(Sheet1[[#This Row],[Attendance ]]&lt;65,"Yes","No")</f>
        <v>No</v>
      </c>
    </row>
    <row r="329" spans="1:12" hidden="1" x14ac:dyDescent="0.35">
      <c r="A329" t="s">
        <v>370</v>
      </c>
      <c r="B329" t="s">
        <v>39</v>
      </c>
      <c r="C329" t="s">
        <v>13</v>
      </c>
      <c r="D329">
        <v>63</v>
      </c>
      <c r="E329" t="s">
        <v>5</v>
      </c>
      <c r="F329">
        <v>7.53</v>
      </c>
      <c r="G329" t="s">
        <v>26</v>
      </c>
      <c r="H329" t="str">
        <f t="shared" si="39"/>
        <v>Passed</v>
      </c>
      <c r="I329" t="str">
        <f>IF(AND(Sheet1[[#This Row],[Attendance ]]&gt;65,Sheet1[[#This Row],[Attendance ]]&lt;75),"Yes","No")</f>
        <v>No</v>
      </c>
      <c r="J329" t="str">
        <f>IF(Sheet1[[#This Row],[Attendance ]]&lt;65,"Yes","No")</f>
        <v>Yes</v>
      </c>
    </row>
    <row r="330" spans="1:12" hidden="1" x14ac:dyDescent="0.35">
      <c r="A330" t="s">
        <v>371</v>
      </c>
      <c r="B330" t="s">
        <v>58</v>
      </c>
      <c r="C330" t="s">
        <v>4</v>
      </c>
      <c r="D330">
        <v>99.82</v>
      </c>
      <c r="E330" t="s">
        <v>5</v>
      </c>
      <c r="F330">
        <v>5.53</v>
      </c>
      <c r="G330" t="s">
        <v>6</v>
      </c>
      <c r="H330" t="str">
        <f t="shared" si="39"/>
        <v>Passed</v>
      </c>
      <c r="I330" t="str">
        <f>IF(AND(Sheet1[[#This Row],[Attendance ]]&gt;65,Sheet1[[#This Row],[Attendance ]]&lt;75),"Yes","No")</f>
        <v>No</v>
      </c>
      <c r="J330" t="str">
        <f>IF(Sheet1[[#This Row],[Attendance ]]&lt;65,"Yes","No")</f>
        <v>No</v>
      </c>
    </row>
    <row r="331" spans="1:12" hidden="1" x14ac:dyDescent="0.35">
      <c r="A331" t="s">
        <v>372</v>
      </c>
      <c r="B331" t="s">
        <v>149</v>
      </c>
      <c r="C331" t="s">
        <v>13</v>
      </c>
      <c r="D331">
        <v>76.69</v>
      </c>
      <c r="E331" t="s">
        <v>5</v>
      </c>
      <c r="F331">
        <v>9.1199999999999992</v>
      </c>
      <c r="G331" t="s">
        <v>6</v>
      </c>
      <c r="H331" t="str">
        <f t="shared" si="39"/>
        <v>Passed</v>
      </c>
      <c r="I331" t="str">
        <f>IF(AND(Sheet1[[#This Row],[Attendance ]]&gt;65,Sheet1[[#This Row],[Attendance ]]&lt;75),"Yes","No")</f>
        <v>No</v>
      </c>
      <c r="J331" t="str">
        <f>IF(Sheet1[[#This Row],[Attendance ]]&lt;65,"Yes","No")</f>
        <v>No</v>
      </c>
    </row>
    <row r="332" spans="1:12" x14ac:dyDescent="0.35">
      <c r="A332" t="s">
        <v>373</v>
      </c>
      <c r="B332" t="s">
        <v>88</v>
      </c>
      <c r="C332" t="s">
        <v>4</v>
      </c>
      <c r="D332">
        <v>65.760000000000005</v>
      </c>
      <c r="E332" t="s">
        <v>5</v>
      </c>
      <c r="F332">
        <v>7.68</v>
      </c>
      <c r="G332" t="s">
        <v>6</v>
      </c>
      <c r="H332" t="str">
        <f t="shared" si="39"/>
        <v>Passed</v>
      </c>
      <c r="I332" t="str">
        <f>IF(AND(Sheet1[[#This Row],[Attendance ]]&gt;65,Sheet1[[#This Row],[Attendance ]]&lt;75),"Yes","No")</f>
        <v>Yes</v>
      </c>
      <c r="J332" t="str">
        <f>IF(Sheet1[[#This Row],[Attendance ]]&lt;65,"Yes","No")</f>
        <v>No</v>
      </c>
      <c r="K332" t="str">
        <f>CHOOSE(MOD(ROW()-2,8)+1,
"Kadapa",
"Ananthapur",
"Rayachoti",
"Nellore",
"Chittoor",
"Madanapalli",
"Rajampeta",
"Tirupati")</f>
        <v>Rayachoti</v>
      </c>
      <c r="L332" t="str">
        <f>IF(AND(G330="4th Year",E330="Pass",F330&gt;=7),"Yes","No")</f>
        <v>No</v>
      </c>
    </row>
    <row r="333" spans="1:12" hidden="1" x14ac:dyDescent="0.35">
      <c r="A333" t="s">
        <v>374</v>
      </c>
      <c r="B333" t="s">
        <v>103</v>
      </c>
      <c r="C333" t="s">
        <v>9</v>
      </c>
      <c r="D333">
        <v>83.95</v>
      </c>
      <c r="E333" t="s">
        <v>5</v>
      </c>
      <c r="F333">
        <v>9.66</v>
      </c>
      <c r="G333" t="s">
        <v>26</v>
      </c>
      <c r="H333" t="str">
        <f t="shared" si="39"/>
        <v>Passed</v>
      </c>
      <c r="I333" t="str">
        <f>IF(AND(Sheet1[[#This Row],[Attendance ]]&gt;65,Sheet1[[#This Row],[Attendance ]]&lt;75),"Yes","No")</f>
        <v>No</v>
      </c>
      <c r="J333" t="str">
        <f>IF(Sheet1[[#This Row],[Attendance ]]&lt;65,"Yes","No")</f>
        <v>No</v>
      </c>
    </row>
    <row r="334" spans="1:12" hidden="1" x14ac:dyDescent="0.35">
      <c r="A334" t="s">
        <v>375</v>
      </c>
      <c r="B334" t="s">
        <v>32</v>
      </c>
      <c r="C334" t="s">
        <v>23</v>
      </c>
      <c r="D334">
        <v>98.52</v>
      </c>
      <c r="E334" t="s">
        <v>5</v>
      </c>
      <c r="F334">
        <v>9.1199999999999992</v>
      </c>
      <c r="G334" t="s">
        <v>6</v>
      </c>
      <c r="H334" t="str">
        <f t="shared" si="39"/>
        <v>Passed</v>
      </c>
      <c r="I334" t="str">
        <f>IF(AND(Sheet1[[#This Row],[Attendance ]]&gt;65,Sheet1[[#This Row],[Attendance ]]&lt;75),"Yes","No")</f>
        <v>No</v>
      </c>
      <c r="J334" t="str">
        <f>IF(Sheet1[[#This Row],[Attendance ]]&lt;65,"Yes","No")</f>
        <v>No</v>
      </c>
    </row>
    <row r="335" spans="1:12" hidden="1" x14ac:dyDescent="0.35">
      <c r="A335" t="s">
        <v>376</v>
      </c>
      <c r="B335" t="s">
        <v>107</v>
      </c>
      <c r="C335" t="s">
        <v>13</v>
      </c>
      <c r="D335">
        <v>92.77</v>
      </c>
      <c r="E335" t="s">
        <v>5</v>
      </c>
      <c r="F335">
        <v>5.15</v>
      </c>
      <c r="G335" t="s">
        <v>28</v>
      </c>
      <c r="H335" t="str">
        <f t="shared" si="39"/>
        <v>Passed</v>
      </c>
      <c r="I335" t="str">
        <f>IF(AND(Sheet1[[#This Row],[Attendance ]]&gt;65,Sheet1[[#This Row],[Attendance ]]&lt;75),"Yes","No")</f>
        <v>No</v>
      </c>
      <c r="J335" t="str">
        <f>IF(Sheet1[[#This Row],[Attendance ]]&lt;65,"Yes","No")</f>
        <v>No</v>
      </c>
    </row>
    <row r="336" spans="1:12" hidden="1" x14ac:dyDescent="0.35">
      <c r="A336" t="s">
        <v>377</v>
      </c>
      <c r="B336" t="s">
        <v>15</v>
      </c>
      <c r="C336" t="s">
        <v>9</v>
      </c>
      <c r="D336">
        <v>91.47</v>
      </c>
      <c r="E336" t="s">
        <v>10</v>
      </c>
      <c r="F336">
        <v>9.0500000000000007</v>
      </c>
      <c r="G336" t="s">
        <v>6</v>
      </c>
      <c r="H336" t="str">
        <f t="shared" si="39"/>
        <v>DBMS</v>
      </c>
      <c r="I336" t="str">
        <f>IF(AND(Sheet1[[#This Row],[Attendance ]]&gt;65,Sheet1[[#This Row],[Attendance ]]&lt;75),"Yes","No")</f>
        <v>No</v>
      </c>
      <c r="J336" t="str">
        <f>IF(Sheet1[[#This Row],[Attendance ]]&lt;65,"Yes","No")</f>
        <v>No</v>
      </c>
    </row>
    <row r="337" spans="1:12" hidden="1" x14ac:dyDescent="0.35">
      <c r="A337" t="s">
        <v>378</v>
      </c>
      <c r="B337" t="s">
        <v>103</v>
      </c>
      <c r="C337" t="s">
        <v>35</v>
      </c>
      <c r="D337">
        <v>89.22</v>
      </c>
      <c r="E337" t="s">
        <v>5</v>
      </c>
      <c r="F337">
        <v>8.34</v>
      </c>
      <c r="G337" t="s">
        <v>11</v>
      </c>
      <c r="H337" t="str">
        <f t="shared" si="39"/>
        <v>Passed</v>
      </c>
      <c r="I337" t="str">
        <f>IF(AND(Sheet1[[#This Row],[Attendance ]]&gt;65,Sheet1[[#This Row],[Attendance ]]&lt;75),"Yes","No")</f>
        <v>No</v>
      </c>
      <c r="J337" t="str">
        <f>IF(Sheet1[[#This Row],[Attendance ]]&lt;65,"Yes","No")</f>
        <v>No</v>
      </c>
    </row>
    <row r="338" spans="1:12" hidden="1" x14ac:dyDescent="0.35">
      <c r="A338" t="s">
        <v>379</v>
      </c>
      <c r="B338" t="s">
        <v>103</v>
      </c>
      <c r="C338" t="s">
        <v>23</v>
      </c>
      <c r="D338">
        <v>88.66</v>
      </c>
      <c r="E338" t="s">
        <v>5</v>
      </c>
      <c r="F338">
        <v>7.17</v>
      </c>
      <c r="G338" t="s">
        <v>6</v>
      </c>
      <c r="H338" t="str">
        <f t="shared" si="39"/>
        <v>Passed</v>
      </c>
      <c r="I338" t="str">
        <f>IF(AND(Sheet1[[#This Row],[Attendance ]]&gt;65,Sheet1[[#This Row],[Attendance ]]&lt;75),"Yes","No")</f>
        <v>No</v>
      </c>
      <c r="J338" t="str">
        <f>IF(Sheet1[[#This Row],[Attendance ]]&lt;65,"Yes","No")</f>
        <v>No</v>
      </c>
    </row>
    <row r="339" spans="1:12" hidden="1" x14ac:dyDescent="0.35">
      <c r="A339" t="s">
        <v>380</v>
      </c>
      <c r="B339" t="s">
        <v>98</v>
      </c>
      <c r="C339" t="s">
        <v>35</v>
      </c>
      <c r="D339">
        <v>96.49</v>
      </c>
      <c r="E339" t="s">
        <v>5</v>
      </c>
      <c r="F339">
        <v>5.54</v>
      </c>
      <c r="G339" t="s">
        <v>6</v>
      </c>
      <c r="H339" t="str">
        <f t="shared" si="39"/>
        <v>Passed</v>
      </c>
      <c r="I339" t="str">
        <f>IF(AND(Sheet1[[#This Row],[Attendance ]]&gt;65,Sheet1[[#This Row],[Attendance ]]&lt;75),"Yes","No")</f>
        <v>No</v>
      </c>
      <c r="J339" t="str">
        <f>IF(Sheet1[[#This Row],[Attendance ]]&lt;65,"Yes","No")</f>
        <v>No</v>
      </c>
    </row>
    <row r="340" spans="1:12" x14ac:dyDescent="0.35">
      <c r="A340" t="s">
        <v>381</v>
      </c>
      <c r="B340" t="s">
        <v>58</v>
      </c>
      <c r="C340" t="s">
        <v>13</v>
      </c>
      <c r="D340">
        <v>72.13</v>
      </c>
      <c r="E340" t="s">
        <v>5</v>
      </c>
      <c r="F340">
        <v>6.56</v>
      </c>
      <c r="G340" t="s">
        <v>6</v>
      </c>
      <c r="H340" t="str">
        <f t="shared" si="39"/>
        <v>Passed</v>
      </c>
      <c r="I340" t="str">
        <f>IF(AND(Sheet1[[#This Row],[Attendance ]]&gt;65,Sheet1[[#This Row],[Attendance ]]&lt;75),"Yes","No")</f>
        <v>Yes</v>
      </c>
      <c r="J340" t="str">
        <f>IF(Sheet1[[#This Row],[Attendance ]]&lt;65,"Yes","No")</f>
        <v>No</v>
      </c>
      <c r="K340" t="str">
        <f>CHOOSE(MOD(ROW()-2,8)+1,
"Kadapa",
"Ananthapur",
"Rayachoti",
"Nellore",
"Chittoor",
"Madanapalli",
"Rajampeta",
"Tirupati")</f>
        <v>Rayachoti</v>
      </c>
      <c r="L340" t="str">
        <f>IF(AND(G338="4th Year",E338="Pass",F338&gt;=7),"Yes","No")</f>
        <v>No</v>
      </c>
    </row>
    <row r="341" spans="1:12" hidden="1" x14ac:dyDescent="0.35">
      <c r="A341" t="s">
        <v>382</v>
      </c>
      <c r="B341" t="s">
        <v>45</v>
      </c>
      <c r="C341" t="s">
        <v>20</v>
      </c>
      <c r="D341">
        <v>95.88</v>
      </c>
      <c r="E341" t="s">
        <v>5</v>
      </c>
      <c r="F341">
        <v>8.98</v>
      </c>
      <c r="G341" t="s">
        <v>26</v>
      </c>
      <c r="H341" t="str">
        <f t="shared" si="39"/>
        <v>Passed</v>
      </c>
      <c r="I341" t="str">
        <f>IF(AND(Sheet1[[#This Row],[Attendance ]]&gt;65,Sheet1[[#This Row],[Attendance ]]&lt;75),"Yes","No")</f>
        <v>No</v>
      </c>
      <c r="J341" t="str">
        <f>IF(Sheet1[[#This Row],[Attendance ]]&lt;65,"Yes","No")</f>
        <v>No</v>
      </c>
    </row>
    <row r="342" spans="1:12" hidden="1" x14ac:dyDescent="0.35">
      <c r="A342" t="s">
        <v>383</v>
      </c>
      <c r="B342" t="s">
        <v>103</v>
      </c>
      <c r="C342" t="s">
        <v>23</v>
      </c>
      <c r="D342">
        <v>90.15</v>
      </c>
      <c r="E342" t="s">
        <v>10</v>
      </c>
      <c r="F342">
        <v>5.56</v>
      </c>
      <c r="G342" t="s">
        <v>28</v>
      </c>
      <c r="H342" t="str">
        <f t="shared" si="39"/>
        <v>Machine Learning</v>
      </c>
      <c r="I342" t="str">
        <f>IF(AND(Sheet1[[#This Row],[Attendance ]]&gt;65,Sheet1[[#This Row],[Attendance ]]&lt;75),"Yes","No")</f>
        <v>No</v>
      </c>
      <c r="J342" t="str">
        <f>IF(Sheet1[[#This Row],[Attendance ]]&lt;65,"Yes","No")</f>
        <v>No</v>
      </c>
    </row>
    <row r="343" spans="1:12" hidden="1" x14ac:dyDescent="0.35">
      <c r="A343" t="s">
        <v>384</v>
      </c>
      <c r="B343" t="s">
        <v>72</v>
      </c>
      <c r="C343" t="s">
        <v>23</v>
      </c>
      <c r="D343">
        <v>89.01</v>
      </c>
      <c r="E343" t="s">
        <v>5</v>
      </c>
      <c r="F343">
        <v>9.33</v>
      </c>
      <c r="G343" t="s">
        <v>28</v>
      </c>
      <c r="H343" t="str">
        <f t="shared" si="39"/>
        <v>Passed</v>
      </c>
      <c r="I343" t="str">
        <f>IF(AND(Sheet1[[#This Row],[Attendance ]]&gt;65,Sheet1[[#This Row],[Attendance ]]&lt;75),"Yes","No")</f>
        <v>No</v>
      </c>
      <c r="J343" t="str">
        <f>IF(Sheet1[[#This Row],[Attendance ]]&lt;65,"Yes","No")</f>
        <v>No</v>
      </c>
    </row>
    <row r="344" spans="1:12" x14ac:dyDescent="0.35">
      <c r="A344" t="s">
        <v>385</v>
      </c>
      <c r="B344" t="s">
        <v>32</v>
      </c>
      <c r="C344" t="s">
        <v>9</v>
      </c>
      <c r="D344">
        <v>74.349999999999994</v>
      </c>
      <c r="E344" t="s">
        <v>10</v>
      </c>
      <c r="F344">
        <v>6.87</v>
      </c>
      <c r="G344" t="s">
        <v>11</v>
      </c>
      <c r="H344" t="str">
        <f t="shared" si="39"/>
        <v>M1</v>
      </c>
      <c r="I344" t="str">
        <f>IF(AND(Sheet1[[#This Row],[Attendance ]]&gt;65,Sheet1[[#This Row],[Attendance ]]&lt;75),"Yes","No")</f>
        <v>Yes</v>
      </c>
      <c r="J344" t="str">
        <f>IF(Sheet1[[#This Row],[Attendance ]]&lt;65,"Yes","No")</f>
        <v>No</v>
      </c>
      <c r="K344" t="str">
        <f>CHOOSE(MOD(ROW()-2,8)+1,
"Kadapa",
"Ananthapur",
"Rayachoti",
"Nellore",
"Chittoor",
"Madanapalli",
"Rajampeta",
"Tirupati")</f>
        <v>Rajampeta</v>
      </c>
      <c r="L344" t="str">
        <f>IF(AND(G342="4th Year",E342="Pass",F342&gt;=7),"Yes","No")</f>
        <v>No</v>
      </c>
    </row>
    <row r="345" spans="1:12" hidden="1" x14ac:dyDescent="0.35">
      <c r="A345" t="s">
        <v>386</v>
      </c>
      <c r="B345" t="s">
        <v>8</v>
      </c>
      <c r="C345" t="s">
        <v>13</v>
      </c>
      <c r="D345">
        <v>87.99</v>
      </c>
      <c r="E345" t="s">
        <v>5</v>
      </c>
      <c r="F345">
        <v>9.18</v>
      </c>
      <c r="G345" t="s">
        <v>26</v>
      </c>
      <c r="H345" t="str">
        <f t="shared" si="39"/>
        <v>Passed</v>
      </c>
      <c r="I345" t="str">
        <f>IF(AND(Sheet1[[#This Row],[Attendance ]]&gt;65,Sheet1[[#This Row],[Attendance ]]&lt;75),"Yes","No")</f>
        <v>No</v>
      </c>
      <c r="J345" t="str">
        <f>IF(Sheet1[[#This Row],[Attendance ]]&lt;65,"Yes","No")</f>
        <v>No</v>
      </c>
    </row>
    <row r="346" spans="1:12" hidden="1" x14ac:dyDescent="0.35">
      <c r="A346" t="s">
        <v>387</v>
      </c>
      <c r="B346" t="s">
        <v>88</v>
      </c>
      <c r="C346" t="s">
        <v>9</v>
      </c>
      <c r="D346">
        <v>88.3</v>
      </c>
      <c r="E346" t="s">
        <v>5</v>
      </c>
      <c r="F346">
        <v>9.5500000000000007</v>
      </c>
      <c r="G346" t="s">
        <v>11</v>
      </c>
      <c r="H346" t="str">
        <f t="shared" si="39"/>
        <v>Passed</v>
      </c>
      <c r="I346" t="str">
        <f>IF(AND(Sheet1[[#This Row],[Attendance ]]&gt;65,Sheet1[[#This Row],[Attendance ]]&lt;75),"Yes","No")</f>
        <v>No</v>
      </c>
      <c r="J346" t="str">
        <f>IF(Sheet1[[#This Row],[Attendance ]]&lt;65,"Yes","No")</f>
        <v>No</v>
      </c>
    </row>
    <row r="347" spans="1:12" hidden="1" x14ac:dyDescent="0.35">
      <c r="A347" t="s">
        <v>388</v>
      </c>
      <c r="B347" t="s">
        <v>51</v>
      </c>
      <c r="C347" t="s">
        <v>35</v>
      </c>
      <c r="D347">
        <v>89.26</v>
      </c>
      <c r="E347" t="s">
        <v>5</v>
      </c>
      <c r="F347">
        <v>5.33</v>
      </c>
      <c r="G347" t="s">
        <v>26</v>
      </c>
      <c r="H347" t="str">
        <f t="shared" si="39"/>
        <v>Passed</v>
      </c>
      <c r="I347" t="str">
        <f>IF(AND(Sheet1[[#This Row],[Attendance ]]&gt;65,Sheet1[[#This Row],[Attendance ]]&lt;75),"Yes","No")</f>
        <v>No</v>
      </c>
      <c r="J347" t="str">
        <f>IF(Sheet1[[#This Row],[Attendance ]]&lt;65,"Yes","No")</f>
        <v>No</v>
      </c>
    </row>
    <row r="348" spans="1:12" hidden="1" x14ac:dyDescent="0.35">
      <c r="A348" t="s">
        <v>389</v>
      </c>
      <c r="B348" t="s">
        <v>43</v>
      </c>
      <c r="C348" t="s">
        <v>4</v>
      </c>
      <c r="D348">
        <v>98.18</v>
      </c>
      <c r="E348" t="s">
        <v>5</v>
      </c>
      <c r="F348">
        <v>6.37</v>
      </c>
      <c r="G348" t="s">
        <v>28</v>
      </c>
      <c r="H348" t="str">
        <f t="shared" si="39"/>
        <v>Passed</v>
      </c>
      <c r="I348" t="str">
        <f>IF(AND(Sheet1[[#This Row],[Attendance ]]&gt;65,Sheet1[[#This Row],[Attendance ]]&lt;75),"Yes","No")</f>
        <v>No</v>
      </c>
      <c r="J348" t="str">
        <f>IF(Sheet1[[#This Row],[Attendance ]]&lt;65,"Yes","No")</f>
        <v>No</v>
      </c>
    </row>
    <row r="349" spans="1:12" hidden="1" x14ac:dyDescent="0.35">
      <c r="A349" t="s">
        <v>390</v>
      </c>
      <c r="B349" t="s">
        <v>12</v>
      </c>
      <c r="C349" t="s">
        <v>9</v>
      </c>
      <c r="D349">
        <v>83.3</v>
      </c>
      <c r="E349" t="s">
        <v>5</v>
      </c>
      <c r="F349">
        <v>6.77</v>
      </c>
      <c r="G349" t="s">
        <v>11</v>
      </c>
      <c r="H349" t="str">
        <f t="shared" si="39"/>
        <v>Passed</v>
      </c>
      <c r="I349" t="str">
        <f>IF(AND(Sheet1[[#This Row],[Attendance ]]&gt;65,Sheet1[[#This Row],[Attendance ]]&lt;75),"Yes","No")</f>
        <v>No</v>
      </c>
      <c r="J349" t="str">
        <f>IF(Sheet1[[#This Row],[Attendance ]]&lt;65,"Yes","No")</f>
        <v>No</v>
      </c>
    </row>
    <row r="350" spans="1:12" hidden="1" x14ac:dyDescent="0.35">
      <c r="A350" t="s">
        <v>391</v>
      </c>
      <c r="B350" t="s">
        <v>63</v>
      </c>
      <c r="C350" t="s">
        <v>35</v>
      </c>
      <c r="D350">
        <v>85.47</v>
      </c>
      <c r="E350" t="s">
        <v>5</v>
      </c>
      <c r="F350">
        <v>5.38</v>
      </c>
      <c r="G350" t="s">
        <v>11</v>
      </c>
      <c r="H350" t="str">
        <f t="shared" si="39"/>
        <v>Passed</v>
      </c>
      <c r="I350" t="str">
        <f>IF(AND(Sheet1[[#This Row],[Attendance ]]&gt;65,Sheet1[[#This Row],[Attendance ]]&lt;75),"Yes","No")</f>
        <v>No</v>
      </c>
      <c r="J350" t="str">
        <f>IF(Sheet1[[#This Row],[Attendance ]]&lt;65,"Yes","No")</f>
        <v>No</v>
      </c>
    </row>
    <row r="351" spans="1:12" hidden="1" x14ac:dyDescent="0.35">
      <c r="A351" t="s">
        <v>392</v>
      </c>
      <c r="B351" t="s">
        <v>17</v>
      </c>
      <c r="C351" t="s">
        <v>13</v>
      </c>
      <c r="D351">
        <v>92.88</v>
      </c>
      <c r="E351" t="s">
        <v>10</v>
      </c>
      <c r="F351">
        <v>5.78</v>
      </c>
      <c r="G351" t="s">
        <v>26</v>
      </c>
      <c r="H351" t="str">
        <f t="shared" si="39"/>
        <v>Deep Learning</v>
      </c>
      <c r="I351" t="str">
        <f>IF(AND(Sheet1[[#This Row],[Attendance ]]&gt;65,Sheet1[[#This Row],[Attendance ]]&lt;75),"Yes","No")</f>
        <v>No</v>
      </c>
      <c r="J351" t="str">
        <f>IF(Sheet1[[#This Row],[Attendance ]]&lt;65,"Yes","No")</f>
        <v>No</v>
      </c>
    </row>
    <row r="352" spans="1:12" x14ac:dyDescent="0.35">
      <c r="A352" t="s">
        <v>393</v>
      </c>
      <c r="B352" t="s">
        <v>72</v>
      </c>
      <c r="C352" t="s">
        <v>23</v>
      </c>
      <c r="D352">
        <v>74.790000000000006</v>
      </c>
      <c r="E352" t="s">
        <v>5</v>
      </c>
      <c r="F352">
        <v>7.19</v>
      </c>
      <c r="G352" t="s">
        <v>26</v>
      </c>
      <c r="H352" t="str">
        <f t="shared" si="39"/>
        <v>Passed</v>
      </c>
      <c r="I352" t="str">
        <f>IF(AND(Sheet1[[#This Row],[Attendance ]]&gt;65,Sheet1[[#This Row],[Attendance ]]&lt;75),"Yes","No")</f>
        <v>Yes</v>
      </c>
      <c r="J352" t="str">
        <f>IF(Sheet1[[#This Row],[Attendance ]]&lt;65,"Yes","No")</f>
        <v>No</v>
      </c>
      <c r="K352" t="str">
        <f>CHOOSE(MOD(ROW()-2,8)+1,
"Kadapa",
"Ananthapur",
"Rayachoti",
"Nellore",
"Chittoor",
"Madanapalli",
"Rajampeta",
"Tirupati")</f>
        <v>Rajampeta</v>
      </c>
      <c r="L352" t="str">
        <f>IF(AND(G350="4th Year",E350="Pass",F350&gt;=7),"Yes","No")</f>
        <v>No</v>
      </c>
    </row>
    <row r="353" spans="1:12" hidden="1" x14ac:dyDescent="0.35">
      <c r="A353" t="s">
        <v>394</v>
      </c>
      <c r="B353" t="s">
        <v>63</v>
      </c>
      <c r="C353" t="s">
        <v>20</v>
      </c>
      <c r="D353">
        <v>81.93</v>
      </c>
      <c r="E353" t="s">
        <v>10</v>
      </c>
      <c r="F353">
        <v>7.57</v>
      </c>
      <c r="G353" t="s">
        <v>6</v>
      </c>
      <c r="H353" t="str">
        <f t="shared" si="39"/>
        <v>DBMS</v>
      </c>
      <c r="I353" t="str">
        <f>IF(AND(Sheet1[[#This Row],[Attendance ]]&gt;65,Sheet1[[#This Row],[Attendance ]]&lt;75),"Yes","No")</f>
        <v>No</v>
      </c>
      <c r="J353" t="str">
        <f>IF(Sheet1[[#This Row],[Attendance ]]&lt;65,"Yes","No")</f>
        <v>No</v>
      </c>
    </row>
    <row r="354" spans="1:12" hidden="1" x14ac:dyDescent="0.35">
      <c r="A354" t="s">
        <v>395</v>
      </c>
      <c r="B354" t="s">
        <v>45</v>
      </c>
      <c r="C354" t="s">
        <v>20</v>
      </c>
      <c r="D354">
        <v>83.14</v>
      </c>
      <c r="E354" t="s">
        <v>5</v>
      </c>
      <c r="F354">
        <v>9.1199999999999992</v>
      </c>
      <c r="G354" t="s">
        <v>6</v>
      </c>
      <c r="H354" t="str">
        <f t="shared" si="39"/>
        <v>Passed</v>
      </c>
      <c r="I354" t="str">
        <f>IF(AND(Sheet1[[#This Row],[Attendance ]]&gt;65,Sheet1[[#This Row],[Attendance ]]&lt;75),"Yes","No")</f>
        <v>No</v>
      </c>
      <c r="J354" t="str">
        <f>IF(Sheet1[[#This Row],[Attendance ]]&lt;65,"Yes","No")</f>
        <v>No</v>
      </c>
    </row>
    <row r="355" spans="1:12" hidden="1" x14ac:dyDescent="0.35">
      <c r="A355" t="s">
        <v>396</v>
      </c>
      <c r="B355" t="s">
        <v>15</v>
      </c>
      <c r="C355" t="s">
        <v>23</v>
      </c>
      <c r="D355">
        <v>79.38</v>
      </c>
      <c r="E355" t="s">
        <v>5</v>
      </c>
      <c r="F355">
        <v>9.1199999999999992</v>
      </c>
      <c r="G355" t="s">
        <v>6</v>
      </c>
      <c r="H355" t="str">
        <f t="shared" si="39"/>
        <v>Passed</v>
      </c>
      <c r="I355" t="str">
        <f>IF(AND(Sheet1[[#This Row],[Attendance ]]&gt;65,Sheet1[[#This Row],[Attendance ]]&lt;75),"Yes","No")</f>
        <v>No</v>
      </c>
      <c r="J355" t="str">
        <f>IF(Sheet1[[#This Row],[Attendance ]]&lt;65,"Yes","No")</f>
        <v>No</v>
      </c>
    </row>
    <row r="356" spans="1:12" hidden="1" x14ac:dyDescent="0.35">
      <c r="A356" t="s">
        <v>397</v>
      </c>
      <c r="B356" t="s">
        <v>30</v>
      </c>
      <c r="C356" t="s">
        <v>20</v>
      </c>
      <c r="D356">
        <v>61.88</v>
      </c>
      <c r="E356" t="s">
        <v>5</v>
      </c>
      <c r="F356">
        <v>5.03</v>
      </c>
      <c r="G356" t="s">
        <v>28</v>
      </c>
      <c r="H356" t="str">
        <f t="shared" si="39"/>
        <v>Passed</v>
      </c>
      <c r="I356" t="str">
        <f>IF(AND(Sheet1[[#This Row],[Attendance ]]&gt;65,Sheet1[[#This Row],[Attendance ]]&lt;75),"Yes","No")</f>
        <v>No</v>
      </c>
      <c r="J356" t="str">
        <f>IF(Sheet1[[#This Row],[Attendance ]]&lt;65,"Yes","No")</f>
        <v>Yes</v>
      </c>
    </row>
    <row r="357" spans="1:12" x14ac:dyDescent="0.35">
      <c r="A357" t="s">
        <v>398</v>
      </c>
      <c r="B357" t="s">
        <v>15</v>
      </c>
      <c r="C357" t="s">
        <v>35</v>
      </c>
      <c r="D357">
        <v>71.989999999999995</v>
      </c>
      <c r="E357" t="s">
        <v>5</v>
      </c>
      <c r="F357">
        <v>6.69</v>
      </c>
      <c r="G357" t="s">
        <v>6</v>
      </c>
      <c r="H357" t="str">
        <f t="shared" si="39"/>
        <v>Passed</v>
      </c>
      <c r="I357" t="str">
        <f>IF(AND(Sheet1[[#This Row],[Attendance ]]&gt;65,Sheet1[[#This Row],[Attendance ]]&lt;75),"Yes","No")</f>
        <v>Yes</v>
      </c>
      <c r="J357" t="str">
        <f>IF(Sheet1[[#This Row],[Attendance ]]&lt;65,"Yes","No")</f>
        <v>No</v>
      </c>
      <c r="K357" t="str">
        <f>CHOOSE(MOD(ROW()-2,8)+1,
"Kadapa",
"Ananthapur",
"Rayachoti",
"Nellore",
"Chittoor",
"Madanapalli",
"Rajampeta",
"Tirupati")</f>
        <v>Nellore</v>
      </c>
      <c r="L357" t="str">
        <f>IF(AND(G355="4th Year",E355="Pass",F355&gt;=7),"Yes","No")</f>
        <v>No</v>
      </c>
    </row>
    <row r="358" spans="1:12" hidden="1" x14ac:dyDescent="0.35">
      <c r="A358" t="s">
        <v>399</v>
      </c>
      <c r="B358" t="s">
        <v>58</v>
      </c>
      <c r="C358" t="s">
        <v>20</v>
      </c>
      <c r="D358">
        <v>62.46</v>
      </c>
      <c r="E358" t="s">
        <v>5</v>
      </c>
      <c r="F358">
        <v>5.95</v>
      </c>
      <c r="G358" t="s">
        <v>26</v>
      </c>
      <c r="H358" t="str">
        <f t="shared" si="39"/>
        <v>Passed</v>
      </c>
      <c r="I358" t="str">
        <f>IF(AND(Sheet1[[#This Row],[Attendance ]]&gt;65,Sheet1[[#This Row],[Attendance ]]&lt;75),"Yes","No")</f>
        <v>No</v>
      </c>
      <c r="J358" t="str">
        <f>IF(Sheet1[[#This Row],[Attendance ]]&lt;65,"Yes","No")</f>
        <v>Yes</v>
      </c>
    </row>
    <row r="359" spans="1:12" x14ac:dyDescent="0.35">
      <c r="A359" t="s">
        <v>400</v>
      </c>
      <c r="B359" t="s">
        <v>98</v>
      </c>
      <c r="C359" t="s">
        <v>9</v>
      </c>
      <c r="D359">
        <v>70.36</v>
      </c>
      <c r="E359" t="s">
        <v>5</v>
      </c>
      <c r="F359">
        <v>9.68</v>
      </c>
      <c r="G359" t="s">
        <v>26</v>
      </c>
      <c r="H359" t="str">
        <f t="shared" si="39"/>
        <v>Passed</v>
      </c>
      <c r="I359" t="str">
        <f>IF(AND(Sheet1[[#This Row],[Attendance ]]&gt;65,Sheet1[[#This Row],[Attendance ]]&lt;75),"Yes","No")</f>
        <v>Yes</v>
      </c>
      <c r="J359" t="str">
        <f>IF(Sheet1[[#This Row],[Attendance ]]&lt;65,"Yes","No")</f>
        <v>No</v>
      </c>
      <c r="K359" t="str">
        <f>CHOOSE(MOD(ROW()-2,8)+1,
"Kadapa",
"Ananthapur",
"Rayachoti",
"Nellore",
"Chittoor",
"Madanapalli",
"Rajampeta",
"Tirupati")</f>
        <v>Madanapalli</v>
      </c>
      <c r="L359" t="str">
        <f>IF(AND(G357="4th Year",E357="Pass",F357&gt;=7),"Yes","No")</f>
        <v>No</v>
      </c>
    </row>
    <row r="360" spans="1:12" hidden="1" x14ac:dyDescent="0.35">
      <c r="A360" t="s">
        <v>401</v>
      </c>
      <c r="B360" t="s">
        <v>39</v>
      </c>
      <c r="C360" t="s">
        <v>20</v>
      </c>
      <c r="D360">
        <v>94.57</v>
      </c>
      <c r="E360" t="s">
        <v>5</v>
      </c>
      <c r="F360">
        <v>9.26</v>
      </c>
      <c r="G360" t="s">
        <v>26</v>
      </c>
      <c r="H360" t="str">
        <f t="shared" si="39"/>
        <v>Passed</v>
      </c>
      <c r="I360" t="str">
        <f>IF(AND(Sheet1[[#This Row],[Attendance ]]&gt;65,Sheet1[[#This Row],[Attendance ]]&lt;75),"Yes","No")</f>
        <v>No</v>
      </c>
      <c r="J360" t="str">
        <f>IF(Sheet1[[#This Row],[Attendance ]]&lt;65,"Yes","No")</f>
        <v>No</v>
      </c>
    </row>
    <row r="361" spans="1:12" hidden="1" x14ac:dyDescent="0.35">
      <c r="A361" t="s">
        <v>402</v>
      </c>
      <c r="B361" t="s">
        <v>103</v>
      </c>
      <c r="C361" t="s">
        <v>13</v>
      </c>
      <c r="D361">
        <v>64.92</v>
      </c>
      <c r="E361" t="s">
        <v>5</v>
      </c>
      <c r="F361">
        <v>7.2</v>
      </c>
      <c r="G361" t="s">
        <v>6</v>
      </c>
      <c r="H361" t="str">
        <f t="shared" si="39"/>
        <v>Passed</v>
      </c>
      <c r="I361" t="str">
        <f>IF(AND(Sheet1[[#This Row],[Attendance ]]&gt;65,Sheet1[[#This Row],[Attendance ]]&lt;75),"Yes","No")</f>
        <v>No</v>
      </c>
      <c r="J361" t="str">
        <f>IF(Sheet1[[#This Row],[Attendance ]]&lt;65,"Yes","No")</f>
        <v>Yes</v>
      </c>
    </row>
    <row r="362" spans="1:12" hidden="1" x14ac:dyDescent="0.35">
      <c r="A362" t="s">
        <v>403</v>
      </c>
      <c r="B362" t="s">
        <v>34</v>
      </c>
      <c r="C362" t="s">
        <v>4</v>
      </c>
      <c r="D362">
        <v>85.64</v>
      </c>
      <c r="E362" t="s">
        <v>5</v>
      </c>
      <c r="F362">
        <v>6.4</v>
      </c>
      <c r="G362" t="s">
        <v>28</v>
      </c>
      <c r="H362" t="str">
        <f t="shared" si="39"/>
        <v>Passed</v>
      </c>
      <c r="I362" t="str">
        <f>IF(AND(Sheet1[[#This Row],[Attendance ]]&gt;65,Sheet1[[#This Row],[Attendance ]]&lt;75),"Yes","No")</f>
        <v>No</v>
      </c>
      <c r="J362" t="str">
        <f>IF(Sheet1[[#This Row],[Attendance ]]&lt;65,"Yes","No")</f>
        <v>No</v>
      </c>
    </row>
    <row r="363" spans="1:12" hidden="1" x14ac:dyDescent="0.35">
      <c r="A363" t="s">
        <v>404</v>
      </c>
      <c r="B363" t="s">
        <v>110</v>
      </c>
      <c r="C363" t="s">
        <v>13</v>
      </c>
      <c r="D363">
        <v>75.19</v>
      </c>
      <c r="E363" t="s">
        <v>5</v>
      </c>
      <c r="F363">
        <v>6.72</v>
      </c>
      <c r="G363" t="s">
        <v>6</v>
      </c>
      <c r="H363" t="str">
        <f t="shared" si="39"/>
        <v>Passed</v>
      </c>
      <c r="I363" t="str">
        <f>IF(AND(Sheet1[[#This Row],[Attendance ]]&gt;65,Sheet1[[#This Row],[Attendance ]]&lt;75),"Yes","No")</f>
        <v>No</v>
      </c>
      <c r="J363" t="str">
        <f>IF(Sheet1[[#This Row],[Attendance ]]&lt;65,"Yes","No")</f>
        <v>No</v>
      </c>
    </row>
    <row r="364" spans="1:12" hidden="1" x14ac:dyDescent="0.35">
      <c r="A364" t="s">
        <v>405</v>
      </c>
      <c r="B364" t="s">
        <v>164</v>
      </c>
      <c r="C364" t="s">
        <v>13</v>
      </c>
      <c r="D364">
        <v>62.64</v>
      </c>
      <c r="E364" t="s">
        <v>5</v>
      </c>
      <c r="F364">
        <v>9.18</v>
      </c>
      <c r="G364" t="s">
        <v>11</v>
      </c>
      <c r="H364" t="str">
        <f t="shared" si="39"/>
        <v>Passed</v>
      </c>
      <c r="I364" t="str">
        <f>IF(AND(Sheet1[[#This Row],[Attendance ]]&gt;65,Sheet1[[#This Row],[Attendance ]]&lt;75),"Yes","No")</f>
        <v>No</v>
      </c>
      <c r="J364" t="str">
        <f>IF(Sheet1[[#This Row],[Attendance ]]&lt;65,"Yes","No")</f>
        <v>Yes</v>
      </c>
    </row>
    <row r="365" spans="1:12" hidden="1" x14ac:dyDescent="0.35">
      <c r="A365" t="s">
        <v>406</v>
      </c>
      <c r="B365" t="s">
        <v>43</v>
      </c>
      <c r="C365" t="s">
        <v>20</v>
      </c>
      <c r="D365">
        <v>79.09</v>
      </c>
      <c r="E365" t="s">
        <v>10</v>
      </c>
      <c r="F365">
        <v>7.51</v>
      </c>
      <c r="G365" t="s">
        <v>28</v>
      </c>
      <c r="H365" t="str">
        <f t="shared" si="39"/>
        <v>Machine Learning</v>
      </c>
      <c r="I365" t="str">
        <f>IF(AND(Sheet1[[#This Row],[Attendance ]]&gt;65,Sheet1[[#This Row],[Attendance ]]&lt;75),"Yes","No")</f>
        <v>No</v>
      </c>
      <c r="J365" t="str">
        <f>IF(Sheet1[[#This Row],[Attendance ]]&lt;65,"Yes","No")</f>
        <v>No</v>
      </c>
    </row>
    <row r="366" spans="1:12" x14ac:dyDescent="0.35">
      <c r="A366" t="s">
        <v>407</v>
      </c>
      <c r="B366" t="s">
        <v>37</v>
      </c>
      <c r="C366" t="s">
        <v>20</v>
      </c>
      <c r="D366">
        <v>68.34</v>
      </c>
      <c r="E366" t="s">
        <v>5</v>
      </c>
      <c r="F366">
        <v>5.0599999999999996</v>
      </c>
      <c r="G366" t="s">
        <v>6</v>
      </c>
      <c r="H366" t="str">
        <f t="shared" si="39"/>
        <v>Passed</v>
      </c>
      <c r="I366" t="str">
        <f>IF(AND(Sheet1[[#This Row],[Attendance ]]&gt;65,Sheet1[[#This Row],[Attendance ]]&lt;75),"Yes","No")</f>
        <v>Yes</v>
      </c>
      <c r="J366" t="str">
        <f>IF(Sheet1[[#This Row],[Attendance ]]&lt;65,"Yes","No")</f>
        <v>No</v>
      </c>
      <c r="K366" t="str">
        <f>CHOOSE(MOD(ROW()-2,8)+1,
"Kadapa",
"Ananthapur",
"Rayachoti",
"Nellore",
"Chittoor",
"Madanapalli",
"Rajampeta",
"Tirupati")</f>
        <v>Chittoor</v>
      </c>
      <c r="L366" t="str">
        <f>IF(AND(G364="4th Year",E364="Pass",F364&gt;=7),"Yes","No")</f>
        <v>No</v>
      </c>
    </row>
    <row r="367" spans="1:12" hidden="1" x14ac:dyDescent="0.35">
      <c r="A367" t="s">
        <v>408</v>
      </c>
      <c r="B367" t="s">
        <v>63</v>
      </c>
      <c r="C367" t="s">
        <v>23</v>
      </c>
      <c r="D367">
        <v>81.73</v>
      </c>
      <c r="E367" t="s">
        <v>5</v>
      </c>
      <c r="F367">
        <v>9.7100000000000009</v>
      </c>
      <c r="G367" t="s">
        <v>28</v>
      </c>
      <c r="H367" t="str">
        <f t="shared" si="39"/>
        <v>Passed</v>
      </c>
      <c r="I367" t="str">
        <f>IF(AND(Sheet1[[#This Row],[Attendance ]]&gt;65,Sheet1[[#This Row],[Attendance ]]&lt;75),"Yes","No")</f>
        <v>No</v>
      </c>
      <c r="J367" t="str">
        <f>IF(Sheet1[[#This Row],[Attendance ]]&lt;65,"Yes","No")</f>
        <v>No</v>
      </c>
    </row>
    <row r="368" spans="1:12" hidden="1" x14ac:dyDescent="0.35">
      <c r="A368" t="s">
        <v>409</v>
      </c>
      <c r="B368" t="s">
        <v>30</v>
      </c>
      <c r="C368" t="s">
        <v>23</v>
      </c>
      <c r="D368">
        <v>75.72</v>
      </c>
      <c r="E368" t="s">
        <v>10</v>
      </c>
      <c r="F368">
        <v>9.44</v>
      </c>
      <c r="G368" t="s">
        <v>26</v>
      </c>
      <c r="H368" t="str">
        <f t="shared" si="39"/>
        <v>Deep Learning</v>
      </c>
      <c r="I368" t="str">
        <f>IF(AND(Sheet1[[#This Row],[Attendance ]]&gt;65,Sheet1[[#This Row],[Attendance ]]&lt;75),"Yes","No")</f>
        <v>No</v>
      </c>
      <c r="J368" t="str">
        <f>IF(Sheet1[[#This Row],[Attendance ]]&lt;65,"Yes","No")</f>
        <v>No</v>
      </c>
    </row>
    <row r="369" spans="1:12" hidden="1" x14ac:dyDescent="0.35">
      <c r="A369" t="s">
        <v>410</v>
      </c>
      <c r="B369" t="s">
        <v>32</v>
      </c>
      <c r="C369" t="s">
        <v>13</v>
      </c>
      <c r="D369">
        <v>99.45</v>
      </c>
      <c r="E369" t="s">
        <v>5</v>
      </c>
      <c r="F369">
        <v>7.25</v>
      </c>
      <c r="G369" t="s">
        <v>6</v>
      </c>
      <c r="H369" t="str">
        <f t="shared" si="39"/>
        <v>Passed</v>
      </c>
      <c r="I369" t="str">
        <f>IF(AND(Sheet1[[#This Row],[Attendance ]]&gt;65,Sheet1[[#This Row],[Attendance ]]&lt;75),"Yes","No")</f>
        <v>No</v>
      </c>
      <c r="J369" t="str">
        <f>IF(Sheet1[[#This Row],[Attendance ]]&lt;65,"Yes","No")</f>
        <v>No</v>
      </c>
    </row>
    <row r="370" spans="1:12" hidden="1" x14ac:dyDescent="0.35">
      <c r="A370" t="s">
        <v>411</v>
      </c>
      <c r="B370" t="s">
        <v>61</v>
      </c>
      <c r="C370" t="s">
        <v>9</v>
      </c>
      <c r="D370">
        <v>91.86</v>
      </c>
      <c r="E370" t="s">
        <v>5</v>
      </c>
      <c r="F370">
        <v>6.16</v>
      </c>
      <c r="G370" t="s">
        <v>26</v>
      </c>
      <c r="H370" t="str">
        <f t="shared" si="39"/>
        <v>Passed</v>
      </c>
      <c r="I370" t="str">
        <f>IF(AND(Sheet1[[#This Row],[Attendance ]]&gt;65,Sheet1[[#This Row],[Attendance ]]&lt;75),"Yes","No")</f>
        <v>No</v>
      </c>
      <c r="J370" t="str">
        <f>IF(Sheet1[[#This Row],[Attendance ]]&lt;65,"Yes","No")</f>
        <v>No</v>
      </c>
    </row>
    <row r="371" spans="1:12" hidden="1" x14ac:dyDescent="0.35">
      <c r="A371" t="s">
        <v>412</v>
      </c>
      <c r="B371" t="s">
        <v>34</v>
      </c>
      <c r="C371" t="s">
        <v>23</v>
      </c>
      <c r="D371">
        <v>84.87</v>
      </c>
      <c r="E371" t="s">
        <v>5</v>
      </c>
      <c r="F371">
        <v>5.2</v>
      </c>
      <c r="G371" t="s">
        <v>28</v>
      </c>
      <c r="H371" t="str">
        <f t="shared" si="39"/>
        <v>Passed</v>
      </c>
      <c r="I371" t="str">
        <f>IF(AND(Sheet1[[#This Row],[Attendance ]]&gt;65,Sheet1[[#This Row],[Attendance ]]&lt;75),"Yes","No")</f>
        <v>No</v>
      </c>
      <c r="J371" t="str">
        <f>IF(Sheet1[[#This Row],[Attendance ]]&lt;65,"Yes","No")</f>
        <v>No</v>
      </c>
    </row>
    <row r="372" spans="1:12" hidden="1" x14ac:dyDescent="0.35">
      <c r="A372" t="s">
        <v>413</v>
      </c>
      <c r="B372" t="s">
        <v>70</v>
      </c>
      <c r="C372" t="s">
        <v>13</v>
      </c>
      <c r="D372">
        <v>85.65</v>
      </c>
      <c r="E372" t="s">
        <v>5</v>
      </c>
      <c r="F372">
        <v>5.75</v>
      </c>
      <c r="G372" t="s">
        <v>6</v>
      </c>
      <c r="H372" t="str">
        <f t="shared" si="39"/>
        <v>Passed</v>
      </c>
      <c r="I372" t="str">
        <f>IF(AND(Sheet1[[#This Row],[Attendance ]]&gt;65,Sheet1[[#This Row],[Attendance ]]&lt;75),"Yes","No")</f>
        <v>No</v>
      </c>
      <c r="J372" t="str">
        <f>IF(Sheet1[[#This Row],[Attendance ]]&lt;65,"Yes","No")</f>
        <v>No</v>
      </c>
    </row>
    <row r="373" spans="1:12" hidden="1" x14ac:dyDescent="0.35">
      <c r="A373" t="s">
        <v>414</v>
      </c>
      <c r="B373" t="s">
        <v>51</v>
      </c>
      <c r="C373" t="s">
        <v>23</v>
      </c>
      <c r="D373">
        <v>88.42</v>
      </c>
      <c r="E373" t="s">
        <v>10</v>
      </c>
      <c r="F373">
        <v>9.11</v>
      </c>
      <c r="G373" t="s">
        <v>11</v>
      </c>
      <c r="H373" t="str">
        <f t="shared" si="39"/>
        <v>M1</v>
      </c>
      <c r="I373" t="str">
        <f>IF(AND(Sheet1[[#This Row],[Attendance ]]&gt;65,Sheet1[[#This Row],[Attendance ]]&lt;75),"Yes","No")</f>
        <v>No</v>
      </c>
      <c r="J373" t="str">
        <f>IF(Sheet1[[#This Row],[Attendance ]]&lt;65,"Yes","No")</f>
        <v>No</v>
      </c>
    </row>
    <row r="374" spans="1:12" hidden="1" x14ac:dyDescent="0.35">
      <c r="A374" t="s">
        <v>415</v>
      </c>
      <c r="B374" t="s">
        <v>37</v>
      </c>
      <c r="C374" t="s">
        <v>9</v>
      </c>
      <c r="D374">
        <v>89</v>
      </c>
      <c r="E374" t="s">
        <v>5</v>
      </c>
      <c r="F374">
        <v>7.87</v>
      </c>
      <c r="G374" t="s">
        <v>28</v>
      </c>
      <c r="H374" t="str">
        <f t="shared" si="39"/>
        <v>Passed</v>
      </c>
      <c r="I374" t="str">
        <f>IF(AND(Sheet1[[#This Row],[Attendance ]]&gt;65,Sheet1[[#This Row],[Attendance ]]&lt;75),"Yes","No")</f>
        <v>No</v>
      </c>
      <c r="J374" t="str">
        <f>IF(Sheet1[[#This Row],[Attendance ]]&lt;65,"Yes","No")</f>
        <v>No</v>
      </c>
    </row>
    <row r="375" spans="1:12" x14ac:dyDescent="0.35">
      <c r="A375" t="s">
        <v>416</v>
      </c>
      <c r="B375" t="s">
        <v>19</v>
      </c>
      <c r="C375" t="s">
        <v>13</v>
      </c>
      <c r="D375">
        <v>68.930000000000007</v>
      </c>
      <c r="E375" t="s">
        <v>5</v>
      </c>
      <c r="F375">
        <v>7.51</v>
      </c>
      <c r="G375" t="s">
        <v>28</v>
      </c>
      <c r="H375" t="str">
        <f t="shared" si="39"/>
        <v>Passed</v>
      </c>
      <c r="I375" t="str">
        <f>IF(AND(Sheet1[[#This Row],[Attendance ]]&gt;65,Sheet1[[#This Row],[Attendance ]]&lt;75),"Yes","No")</f>
        <v>Yes</v>
      </c>
      <c r="J375" t="str">
        <f>IF(Sheet1[[#This Row],[Attendance ]]&lt;65,"Yes","No")</f>
        <v>No</v>
      </c>
      <c r="K375" t="str">
        <f>CHOOSE(MOD(ROW()-2,8)+1,
"Kadapa",
"Ananthapur",
"Rayachoti",
"Nellore",
"Chittoor",
"Madanapalli",
"Rajampeta",
"Tirupati")</f>
        <v>Madanapalli</v>
      </c>
      <c r="L375" t="str">
        <f>IF(AND(G373="4th Year",E373="Pass",F373&gt;=7),"Yes","No")</f>
        <v>No</v>
      </c>
    </row>
    <row r="376" spans="1:12" hidden="1" x14ac:dyDescent="0.35">
      <c r="A376" t="s">
        <v>417</v>
      </c>
      <c r="B376" t="s">
        <v>12</v>
      </c>
      <c r="C376" t="s">
        <v>23</v>
      </c>
      <c r="D376">
        <v>90.51</v>
      </c>
      <c r="E376" t="s">
        <v>5</v>
      </c>
      <c r="F376">
        <v>7.18</v>
      </c>
      <c r="G376" t="s">
        <v>6</v>
      </c>
      <c r="H376" t="str">
        <f t="shared" si="39"/>
        <v>Passed</v>
      </c>
      <c r="I376" t="str">
        <f>IF(AND(Sheet1[[#This Row],[Attendance ]]&gt;65,Sheet1[[#This Row],[Attendance ]]&lt;75),"Yes","No")</f>
        <v>No</v>
      </c>
      <c r="J376" t="str">
        <f>IF(Sheet1[[#This Row],[Attendance ]]&lt;65,"Yes","No")</f>
        <v>No</v>
      </c>
    </row>
    <row r="377" spans="1:12" hidden="1" x14ac:dyDescent="0.35">
      <c r="A377" t="s">
        <v>418</v>
      </c>
      <c r="B377" t="s">
        <v>98</v>
      </c>
      <c r="C377" t="s">
        <v>20</v>
      </c>
      <c r="D377">
        <v>78.78</v>
      </c>
      <c r="E377" t="s">
        <v>5</v>
      </c>
      <c r="F377">
        <v>5.42</v>
      </c>
      <c r="G377" t="s">
        <v>28</v>
      </c>
      <c r="H377" t="str">
        <f t="shared" si="39"/>
        <v>Passed</v>
      </c>
      <c r="I377" t="str">
        <f>IF(AND(Sheet1[[#This Row],[Attendance ]]&gt;65,Sheet1[[#This Row],[Attendance ]]&lt;75),"Yes","No")</f>
        <v>No</v>
      </c>
      <c r="J377" t="str">
        <f>IF(Sheet1[[#This Row],[Attendance ]]&lt;65,"Yes","No")</f>
        <v>No</v>
      </c>
    </row>
    <row r="378" spans="1:12" hidden="1" x14ac:dyDescent="0.35">
      <c r="A378" t="s">
        <v>419</v>
      </c>
      <c r="B378" t="s">
        <v>17</v>
      </c>
      <c r="C378" t="s">
        <v>4</v>
      </c>
      <c r="D378">
        <v>87.39</v>
      </c>
      <c r="E378" t="s">
        <v>5</v>
      </c>
      <c r="F378">
        <v>8.7100000000000009</v>
      </c>
      <c r="G378" t="s">
        <v>11</v>
      </c>
      <c r="H378" t="str">
        <f t="shared" si="39"/>
        <v>Passed</v>
      </c>
      <c r="I378" t="str">
        <f>IF(AND(Sheet1[[#This Row],[Attendance ]]&gt;65,Sheet1[[#This Row],[Attendance ]]&lt;75),"Yes","No")</f>
        <v>No</v>
      </c>
      <c r="J378" t="str">
        <f>IF(Sheet1[[#This Row],[Attendance ]]&lt;65,"Yes","No")</f>
        <v>No</v>
      </c>
    </row>
    <row r="379" spans="1:12" hidden="1" x14ac:dyDescent="0.35">
      <c r="A379" t="s">
        <v>420</v>
      </c>
      <c r="B379" t="s">
        <v>3</v>
      </c>
      <c r="C379" t="s">
        <v>4</v>
      </c>
      <c r="D379">
        <v>77.81</v>
      </c>
      <c r="E379" t="s">
        <v>5</v>
      </c>
      <c r="F379">
        <v>9.6199999999999992</v>
      </c>
      <c r="G379" t="s">
        <v>28</v>
      </c>
      <c r="H379" t="str">
        <f t="shared" si="39"/>
        <v>Passed</v>
      </c>
      <c r="I379" t="str">
        <f>IF(AND(Sheet1[[#This Row],[Attendance ]]&gt;65,Sheet1[[#This Row],[Attendance ]]&lt;75),"Yes","No")</f>
        <v>No</v>
      </c>
      <c r="J379" t="str">
        <f>IF(Sheet1[[#This Row],[Attendance ]]&lt;65,"Yes","No")</f>
        <v>No</v>
      </c>
    </row>
    <row r="380" spans="1:12" hidden="1" x14ac:dyDescent="0.35">
      <c r="A380" t="s">
        <v>421</v>
      </c>
      <c r="B380" t="s">
        <v>116</v>
      </c>
      <c r="C380" t="s">
        <v>23</v>
      </c>
      <c r="D380">
        <v>60.54</v>
      </c>
      <c r="E380" t="s">
        <v>5</v>
      </c>
      <c r="F380">
        <v>8.14</v>
      </c>
      <c r="G380" t="s">
        <v>11</v>
      </c>
      <c r="H380" t="str">
        <f t="shared" si="39"/>
        <v>Passed</v>
      </c>
      <c r="I380" t="str">
        <f>IF(AND(Sheet1[[#This Row],[Attendance ]]&gt;65,Sheet1[[#This Row],[Attendance ]]&lt;75),"Yes","No")</f>
        <v>No</v>
      </c>
      <c r="J380" t="str">
        <f>IF(Sheet1[[#This Row],[Attendance ]]&lt;65,"Yes","No")</f>
        <v>Yes</v>
      </c>
    </row>
    <row r="381" spans="1:12" x14ac:dyDescent="0.35">
      <c r="A381" t="s">
        <v>422</v>
      </c>
      <c r="B381" t="s">
        <v>32</v>
      </c>
      <c r="C381" t="s">
        <v>13</v>
      </c>
      <c r="D381">
        <v>69.42</v>
      </c>
      <c r="E381" t="s">
        <v>5</v>
      </c>
      <c r="F381">
        <v>5.67</v>
      </c>
      <c r="G381" t="s">
        <v>6</v>
      </c>
      <c r="H381" t="str">
        <f t="shared" si="39"/>
        <v>Passed</v>
      </c>
      <c r="I381" t="str">
        <f>IF(AND(Sheet1[[#This Row],[Attendance ]]&gt;65,Sheet1[[#This Row],[Attendance ]]&lt;75),"Yes","No")</f>
        <v>Yes</v>
      </c>
      <c r="J381" t="str">
        <f>IF(Sheet1[[#This Row],[Attendance ]]&lt;65,"Yes","No")</f>
        <v>No</v>
      </c>
      <c r="K381" t="str">
        <f>CHOOSE(MOD(ROW()-2,8)+1,
"Kadapa",
"Ananthapur",
"Rayachoti",
"Nellore",
"Chittoor",
"Madanapalli",
"Rajampeta",
"Tirupati")</f>
        <v>Nellore</v>
      </c>
      <c r="L381" t="str">
        <f>IF(AND(G379="4th Year",E379="Pass",F379&gt;=7),"Yes","No")</f>
        <v>No</v>
      </c>
    </row>
    <row r="382" spans="1:12" hidden="1" x14ac:dyDescent="0.35">
      <c r="A382" t="s">
        <v>423</v>
      </c>
      <c r="B382" t="s">
        <v>63</v>
      </c>
      <c r="C382" t="s">
        <v>4</v>
      </c>
      <c r="D382">
        <v>78.739999999999995</v>
      </c>
      <c r="E382" t="s">
        <v>5</v>
      </c>
      <c r="F382">
        <v>5.6</v>
      </c>
      <c r="G382" t="s">
        <v>26</v>
      </c>
      <c r="H382" t="str">
        <f t="shared" si="39"/>
        <v>Passed</v>
      </c>
      <c r="I382" t="str">
        <f>IF(AND(Sheet1[[#This Row],[Attendance ]]&gt;65,Sheet1[[#This Row],[Attendance ]]&lt;75),"Yes","No")</f>
        <v>No</v>
      </c>
      <c r="J382" t="str">
        <f>IF(Sheet1[[#This Row],[Attendance ]]&lt;65,"Yes","No")</f>
        <v>No</v>
      </c>
    </row>
    <row r="383" spans="1:12" hidden="1" x14ac:dyDescent="0.35">
      <c r="A383" t="s">
        <v>424</v>
      </c>
      <c r="B383" t="s">
        <v>98</v>
      </c>
      <c r="C383" t="s">
        <v>20</v>
      </c>
      <c r="D383">
        <v>78.89</v>
      </c>
      <c r="E383" t="s">
        <v>5</v>
      </c>
      <c r="F383">
        <v>5.5</v>
      </c>
      <c r="G383" t="s">
        <v>11</v>
      </c>
      <c r="H383" t="str">
        <f t="shared" si="39"/>
        <v>Passed</v>
      </c>
      <c r="I383" t="str">
        <f>IF(AND(Sheet1[[#This Row],[Attendance ]]&gt;65,Sheet1[[#This Row],[Attendance ]]&lt;75),"Yes","No")</f>
        <v>No</v>
      </c>
      <c r="J383" t="str">
        <f>IF(Sheet1[[#This Row],[Attendance ]]&lt;65,"Yes","No")</f>
        <v>No</v>
      </c>
    </row>
    <row r="384" spans="1:12" x14ac:dyDescent="0.35">
      <c r="A384" t="s">
        <v>425</v>
      </c>
      <c r="B384" t="s">
        <v>43</v>
      </c>
      <c r="C384" t="s">
        <v>23</v>
      </c>
      <c r="D384">
        <v>67.790000000000006</v>
      </c>
      <c r="E384" t="s">
        <v>5</v>
      </c>
      <c r="F384">
        <v>7.64</v>
      </c>
      <c r="G384" t="s">
        <v>11</v>
      </c>
      <c r="H384" t="str">
        <f t="shared" si="39"/>
        <v>Passed</v>
      </c>
      <c r="I384" t="str">
        <f>IF(AND(Sheet1[[#This Row],[Attendance ]]&gt;65,Sheet1[[#This Row],[Attendance ]]&lt;75),"Yes","No")</f>
        <v>Yes</v>
      </c>
      <c r="J384" t="str">
        <f>IF(Sheet1[[#This Row],[Attendance ]]&lt;65,"Yes","No")</f>
        <v>No</v>
      </c>
      <c r="K384" t="str">
        <f>CHOOSE(MOD(ROW()-2,8)+1,
"Kadapa",
"Ananthapur",
"Rayachoti",
"Nellore",
"Chittoor",
"Madanapalli",
"Rajampeta",
"Tirupati")</f>
        <v>Rajampeta</v>
      </c>
      <c r="L384" t="str">
        <f>IF(AND(G382="4th Year",E382="Pass",F382&gt;=7),"Yes","No")</f>
        <v>No</v>
      </c>
    </row>
    <row r="385" spans="1:12" hidden="1" x14ac:dyDescent="0.35">
      <c r="A385" t="s">
        <v>426</v>
      </c>
      <c r="B385" t="s">
        <v>164</v>
      </c>
      <c r="C385" t="s">
        <v>23</v>
      </c>
      <c r="D385">
        <v>78.81</v>
      </c>
      <c r="E385" t="s">
        <v>5</v>
      </c>
      <c r="F385">
        <v>8.06</v>
      </c>
      <c r="G385" t="s">
        <v>26</v>
      </c>
      <c r="H385" t="str">
        <f t="shared" si="39"/>
        <v>Passed</v>
      </c>
      <c r="I385" t="str">
        <f>IF(AND(Sheet1[[#This Row],[Attendance ]]&gt;65,Sheet1[[#This Row],[Attendance ]]&lt;75),"Yes","No")</f>
        <v>No</v>
      </c>
      <c r="J385" t="str">
        <f>IF(Sheet1[[#This Row],[Attendance ]]&lt;65,"Yes","No")</f>
        <v>No</v>
      </c>
    </row>
    <row r="386" spans="1:12" x14ac:dyDescent="0.35">
      <c r="A386" t="s">
        <v>427</v>
      </c>
      <c r="B386" t="s">
        <v>63</v>
      </c>
      <c r="C386" t="s">
        <v>35</v>
      </c>
      <c r="D386">
        <v>74.17</v>
      </c>
      <c r="E386" t="s">
        <v>5</v>
      </c>
      <c r="F386">
        <v>9.6300000000000008</v>
      </c>
      <c r="G386" t="s">
        <v>11</v>
      </c>
      <c r="H386" t="str">
        <f t="shared" ref="H386:H449" si="40">IF(E386="Pass","Passed",
IF(G386="1st Year","M1",
IF(G386="2nd Year","DBMS",
IF(G386="3rd Year","Machine Learning",
IF(G386="4th Year","Deep Learning","")))))</f>
        <v>Passed</v>
      </c>
      <c r="I386" t="str">
        <f>IF(AND(Sheet1[[#This Row],[Attendance ]]&gt;65,Sheet1[[#This Row],[Attendance ]]&lt;75),"Yes","No")</f>
        <v>Yes</v>
      </c>
      <c r="J386" t="str">
        <f>IF(Sheet1[[#This Row],[Attendance ]]&lt;65,"Yes","No")</f>
        <v>No</v>
      </c>
      <c r="K386" t="str">
        <f>CHOOSE(MOD(ROW()-2,8)+1,
"Kadapa",
"Ananthapur",
"Rayachoti",
"Nellore",
"Chittoor",
"Madanapalli",
"Rajampeta",
"Tirupati")</f>
        <v>Kadapa</v>
      </c>
      <c r="L386" t="str">
        <f>IF(AND(G384="4th Year",E384="Pass",F384&gt;=7),"Yes","No")</f>
        <v>No</v>
      </c>
    </row>
    <row r="387" spans="1:12" hidden="1" x14ac:dyDescent="0.35">
      <c r="A387" t="s">
        <v>428</v>
      </c>
      <c r="B387" t="s">
        <v>51</v>
      </c>
      <c r="C387" t="s">
        <v>13</v>
      </c>
      <c r="D387">
        <v>83.39</v>
      </c>
      <c r="E387" t="s">
        <v>5</v>
      </c>
      <c r="F387">
        <v>5.84</v>
      </c>
      <c r="G387" t="s">
        <v>6</v>
      </c>
      <c r="H387" t="str">
        <f t="shared" si="40"/>
        <v>Passed</v>
      </c>
      <c r="I387" t="str">
        <f>IF(AND(Sheet1[[#This Row],[Attendance ]]&gt;65,Sheet1[[#This Row],[Attendance ]]&lt;75),"Yes","No")</f>
        <v>No</v>
      </c>
      <c r="J387" t="str">
        <f>IF(Sheet1[[#This Row],[Attendance ]]&lt;65,"Yes","No")</f>
        <v>No</v>
      </c>
    </row>
    <row r="388" spans="1:12" hidden="1" x14ac:dyDescent="0.35">
      <c r="A388" t="s">
        <v>429</v>
      </c>
      <c r="B388" t="s">
        <v>45</v>
      </c>
      <c r="C388" t="s">
        <v>4</v>
      </c>
      <c r="D388">
        <v>96.68</v>
      </c>
      <c r="E388" t="s">
        <v>5</v>
      </c>
      <c r="F388">
        <v>9.66</v>
      </c>
      <c r="G388" t="s">
        <v>26</v>
      </c>
      <c r="H388" t="str">
        <f t="shared" si="40"/>
        <v>Passed</v>
      </c>
      <c r="I388" t="str">
        <f>IF(AND(Sheet1[[#This Row],[Attendance ]]&gt;65,Sheet1[[#This Row],[Attendance ]]&lt;75),"Yes","No")</f>
        <v>No</v>
      </c>
      <c r="J388" t="str">
        <f>IF(Sheet1[[#This Row],[Attendance ]]&lt;65,"Yes","No")</f>
        <v>No</v>
      </c>
    </row>
    <row r="389" spans="1:12" x14ac:dyDescent="0.35">
      <c r="A389" t="s">
        <v>430</v>
      </c>
      <c r="B389" t="s">
        <v>72</v>
      </c>
      <c r="C389" t="s">
        <v>23</v>
      </c>
      <c r="D389">
        <v>65.87</v>
      </c>
      <c r="E389" t="s">
        <v>5</v>
      </c>
      <c r="F389">
        <v>7.95</v>
      </c>
      <c r="G389" t="s">
        <v>26</v>
      </c>
      <c r="H389" t="str">
        <f t="shared" si="40"/>
        <v>Passed</v>
      </c>
      <c r="I389" t="str">
        <f>IF(AND(Sheet1[[#This Row],[Attendance ]]&gt;65,Sheet1[[#This Row],[Attendance ]]&lt;75),"Yes","No")</f>
        <v>Yes</v>
      </c>
      <c r="J389" t="str">
        <f>IF(Sheet1[[#This Row],[Attendance ]]&lt;65,"Yes","No")</f>
        <v>No</v>
      </c>
      <c r="K389" t="str">
        <f>CHOOSE(MOD(ROW()-2,8)+1,
"Kadapa",
"Ananthapur",
"Rayachoti",
"Nellore",
"Chittoor",
"Madanapalli",
"Rajampeta",
"Tirupati")</f>
        <v>Nellore</v>
      </c>
      <c r="L389" t="str">
        <f>IF(AND(G387="4th Year",E387="Pass",F387&gt;=7),"Yes","No")</f>
        <v>No</v>
      </c>
    </row>
    <row r="390" spans="1:12" hidden="1" x14ac:dyDescent="0.35">
      <c r="A390" t="s">
        <v>431</v>
      </c>
      <c r="B390" t="s">
        <v>63</v>
      </c>
      <c r="C390" t="s">
        <v>23</v>
      </c>
      <c r="D390">
        <v>60.52</v>
      </c>
      <c r="E390" t="s">
        <v>5</v>
      </c>
      <c r="F390">
        <v>7.54</v>
      </c>
      <c r="G390" t="s">
        <v>28</v>
      </c>
      <c r="H390" t="str">
        <f t="shared" si="40"/>
        <v>Passed</v>
      </c>
      <c r="I390" t="str">
        <f>IF(AND(Sheet1[[#This Row],[Attendance ]]&gt;65,Sheet1[[#This Row],[Attendance ]]&lt;75),"Yes","No")</f>
        <v>No</v>
      </c>
      <c r="J390" t="str">
        <f>IF(Sheet1[[#This Row],[Attendance ]]&lt;65,"Yes","No")</f>
        <v>Yes</v>
      </c>
    </row>
    <row r="391" spans="1:12" hidden="1" x14ac:dyDescent="0.35">
      <c r="A391" t="s">
        <v>432</v>
      </c>
      <c r="B391" t="s">
        <v>43</v>
      </c>
      <c r="C391" t="s">
        <v>9</v>
      </c>
      <c r="D391">
        <v>89.02</v>
      </c>
      <c r="E391" t="s">
        <v>5</v>
      </c>
      <c r="F391">
        <v>6.56</v>
      </c>
      <c r="G391" t="s">
        <v>11</v>
      </c>
      <c r="H391" t="str">
        <f t="shared" si="40"/>
        <v>Passed</v>
      </c>
      <c r="I391" t="str">
        <f>IF(AND(Sheet1[[#This Row],[Attendance ]]&gt;65,Sheet1[[#This Row],[Attendance ]]&lt;75),"Yes","No")</f>
        <v>No</v>
      </c>
      <c r="J391" t="str">
        <f>IF(Sheet1[[#This Row],[Attendance ]]&lt;65,"Yes","No")</f>
        <v>No</v>
      </c>
    </row>
    <row r="392" spans="1:12" x14ac:dyDescent="0.35">
      <c r="A392" t="s">
        <v>433</v>
      </c>
      <c r="B392" t="s">
        <v>34</v>
      </c>
      <c r="C392" t="s">
        <v>20</v>
      </c>
      <c r="D392">
        <v>67.58</v>
      </c>
      <c r="E392" t="s">
        <v>5</v>
      </c>
      <c r="F392">
        <v>5.05</v>
      </c>
      <c r="G392" t="s">
        <v>6</v>
      </c>
      <c r="H392" t="str">
        <f t="shared" si="40"/>
        <v>Passed</v>
      </c>
      <c r="I392" t="str">
        <f>IF(AND(Sheet1[[#This Row],[Attendance ]]&gt;65,Sheet1[[#This Row],[Attendance ]]&lt;75),"Yes","No")</f>
        <v>Yes</v>
      </c>
      <c r="J392" t="str">
        <f>IF(Sheet1[[#This Row],[Attendance ]]&lt;65,"Yes","No")</f>
        <v>No</v>
      </c>
      <c r="K392" t="str">
        <f t="shared" ref="K392:K393" si="41">CHOOSE(MOD(ROW()-2,8)+1,
"Kadapa",
"Ananthapur",
"Rayachoti",
"Nellore",
"Chittoor",
"Madanapalli",
"Rajampeta",
"Tirupati")</f>
        <v>Rajampeta</v>
      </c>
      <c r="L392" t="str">
        <f t="shared" ref="L392:L393" si="42">IF(AND(G390="4th Year",E390="Pass",F390&gt;=7),"Yes","No")</f>
        <v>No</v>
      </c>
    </row>
    <row r="393" spans="1:12" x14ac:dyDescent="0.35">
      <c r="A393" t="s">
        <v>434</v>
      </c>
      <c r="B393" t="s">
        <v>19</v>
      </c>
      <c r="C393" t="s">
        <v>9</v>
      </c>
      <c r="D393">
        <v>72.760000000000005</v>
      </c>
      <c r="E393" t="s">
        <v>5</v>
      </c>
      <c r="F393">
        <v>6.22</v>
      </c>
      <c r="G393" t="s">
        <v>26</v>
      </c>
      <c r="H393" t="str">
        <f t="shared" si="40"/>
        <v>Passed</v>
      </c>
      <c r="I393" t="str">
        <f>IF(AND(Sheet1[[#This Row],[Attendance ]]&gt;65,Sheet1[[#This Row],[Attendance ]]&lt;75),"Yes","No")</f>
        <v>Yes</v>
      </c>
      <c r="J393" t="str">
        <f>IF(Sheet1[[#This Row],[Attendance ]]&lt;65,"Yes","No")</f>
        <v>No</v>
      </c>
      <c r="K393" t="str">
        <f t="shared" si="41"/>
        <v>Tirupati</v>
      </c>
      <c r="L393" t="str">
        <f t="shared" si="42"/>
        <v>No</v>
      </c>
    </row>
    <row r="394" spans="1:12" hidden="1" x14ac:dyDescent="0.35">
      <c r="A394" t="s">
        <v>435</v>
      </c>
      <c r="B394" t="s">
        <v>12</v>
      </c>
      <c r="C394" t="s">
        <v>9</v>
      </c>
      <c r="D394">
        <v>94.16</v>
      </c>
      <c r="E394" t="s">
        <v>5</v>
      </c>
      <c r="F394">
        <v>8.34</v>
      </c>
      <c r="G394" t="s">
        <v>6</v>
      </c>
      <c r="H394" t="str">
        <f t="shared" si="40"/>
        <v>Passed</v>
      </c>
      <c r="I394" t="str">
        <f>IF(AND(Sheet1[[#This Row],[Attendance ]]&gt;65,Sheet1[[#This Row],[Attendance ]]&lt;75),"Yes","No")</f>
        <v>No</v>
      </c>
      <c r="J394" t="str">
        <f>IF(Sheet1[[#This Row],[Attendance ]]&lt;65,"Yes","No")</f>
        <v>No</v>
      </c>
    </row>
    <row r="395" spans="1:12" hidden="1" x14ac:dyDescent="0.35">
      <c r="A395" t="s">
        <v>436</v>
      </c>
      <c r="B395" t="s">
        <v>22</v>
      </c>
      <c r="C395" t="s">
        <v>9</v>
      </c>
      <c r="D395">
        <v>93.77</v>
      </c>
      <c r="E395" t="s">
        <v>5</v>
      </c>
      <c r="F395">
        <v>9.16</v>
      </c>
      <c r="G395" t="s">
        <v>6</v>
      </c>
      <c r="H395" t="str">
        <f t="shared" si="40"/>
        <v>Passed</v>
      </c>
      <c r="I395" t="str">
        <f>IF(AND(Sheet1[[#This Row],[Attendance ]]&gt;65,Sheet1[[#This Row],[Attendance ]]&lt;75),"Yes","No")</f>
        <v>No</v>
      </c>
      <c r="J395" t="str">
        <f>IF(Sheet1[[#This Row],[Attendance ]]&lt;65,"Yes","No")</f>
        <v>No</v>
      </c>
    </row>
    <row r="396" spans="1:12" hidden="1" x14ac:dyDescent="0.35">
      <c r="A396" t="s">
        <v>437</v>
      </c>
      <c r="B396" t="s">
        <v>15</v>
      </c>
      <c r="C396" t="s">
        <v>13</v>
      </c>
      <c r="D396">
        <v>87.55</v>
      </c>
      <c r="E396" t="s">
        <v>5</v>
      </c>
      <c r="F396">
        <v>5.3</v>
      </c>
      <c r="G396" t="s">
        <v>11</v>
      </c>
      <c r="H396" t="str">
        <f t="shared" si="40"/>
        <v>Passed</v>
      </c>
      <c r="I396" t="str">
        <f>IF(AND(Sheet1[[#This Row],[Attendance ]]&gt;65,Sheet1[[#This Row],[Attendance ]]&lt;75),"Yes","No")</f>
        <v>No</v>
      </c>
      <c r="J396" t="str">
        <f>IF(Sheet1[[#This Row],[Attendance ]]&lt;65,"Yes","No")</f>
        <v>No</v>
      </c>
    </row>
    <row r="397" spans="1:12" hidden="1" x14ac:dyDescent="0.35">
      <c r="A397" t="s">
        <v>438</v>
      </c>
      <c r="B397" t="s">
        <v>63</v>
      </c>
      <c r="C397" t="s">
        <v>9</v>
      </c>
      <c r="D397">
        <v>62.53</v>
      </c>
      <c r="E397" t="s">
        <v>10</v>
      </c>
      <c r="F397">
        <v>7.53</v>
      </c>
      <c r="G397" t="s">
        <v>11</v>
      </c>
      <c r="H397" t="str">
        <f t="shared" si="40"/>
        <v>M1</v>
      </c>
      <c r="I397" t="str">
        <f>IF(AND(Sheet1[[#This Row],[Attendance ]]&gt;65,Sheet1[[#This Row],[Attendance ]]&lt;75),"Yes","No")</f>
        <v>No</v>
      </c>
      <c r="J397" t="str">
        <f>IF(Sheet1[[#This Row],[Attendance ]]&lt;65,"Yes","No")</f>
        <v>Yes</v>
      </c>
    </row>
    <row r="398" spans="1:12" hidden="1" x14ac:dyDescent="0.35">
      <c r="A398" t="s">
        <v>439</v>
      </c>
      <c r="B398" t="s">
        <v>72</v>
      </c>
      <c r="C398" t="s">
        <v>13</v>
      </c>
      <c r="D398">
        <v>98.09</v>
      </c>
      <c r="E398" t="s">
        <v>5</v>
      </c>
      <c r="F398">
        <v>7.68</v>
      </c>
      <c r="G398" t="s">
        <v>28</v>
      </c>
      <c r="H398" t="str">
        <f t="shared" si="40"/>
        <v>Passed</v>
      </c>
      <c r="I398" t="str">
        <f>IF(AND(Sheet1[[#This Row],[Attendance ]]&gt;65,Sheet1[[#This Row],[Attendance ]]&lt;75),"Yes","No")</f>
        <v>No</v>
      </c>
      <c r="J398" t="str">
        <f>IF(Sheet1[[#This Row],[Attendance ]]&lt;65,"Yes","No")</f>
        <v>No</v>
      </c>
    </row>
    <row r="399" spans="1:12" hidden="1" x14ac:dyDescent="0.35">
      <c r="A399" t="s">
        <v>440</v>
      </c>
      <c r="B399" t="s">
        <v>15</v>
      </c>
      <c r="C399" t="s">
        <v>20</v>
      </c>
      <c r="D399">
        <v>61.57</v>
      </c>
      <c r="E399" t="s">
        <v>5</v>
      </c>
      <c r="F399">
        <v>9.75</v>
      </c>
      <c r="G399" t="s">
        <v>26</v>
      </c>
      <c r="H399" t="str">
        <f t="shared" si="40"/>
        <v>Passed</v>
      </c>
      <c r="I399" t="str">
        <f>IF(AND(Sheet1[[#This Row],[Attendance ]]&gt;65,Sheet1[[#This Row],[Attendance ]]&lt;75),"Yes","No")</f>
        <v>No</v>
      </c>
      <c r="J399" t="str">
        <f>IF(Sheet1[[#This Row],[Attendance ]]&lt;65,"Yes","No")</f>
        <v>Yes</v>
      </c>
    </row>
    <row r="400" spans="1:12" hidden="1" x14ac:dyDescent="0.35">
      <c r="A400" t="s">
        <v>441</v>
      </c>
      <c r="B400" t="s">
        <v>17</v>
      </c>
      <c r="C400" t="s">
        <v>4</v>
      </c>
      <c r="D400">
        <v>90.67</v>
      </c>
      <c r="E400" t="s">
        <v>10</v>
      </c>
      <c r="F400">
        <v>5.39</v>
      </c>
      <c r="G400" t="s">
        <v>26</v>
      </c>
      <c r="H400" t="str">
        <f t="shared" si="40"/>
        <v>Deep Learning</v>
      </c>
      <c r="I400" t="str">
        <f>IF(AND(Sheet1[[#This Row],[Attendance ]]&gt;65,Sheet1[[#This Row],[Attendance ]]&lt;75),"Yes","No")</f>
        <v>No</v>
      </c>
      <c r="J400" t="str">
        <f>IF(Sheet1[[#This Row],[Attendance ]]&lt;65,"Yes","No")</f>
        <v>No</v>
      </c>
    </row>
    <row r="401" spans="1:12" hidden="1" x14ac:dyDescent="0.35">
      <c r="A401" t="s">
        <v>442</v>
      </c>
      <c r="B401" t="s">
        <v>107</v>
      </c>
      <c r="C401" t="s">
        <v>13</v>
      </c>
      <c r="D401">
        <v>63.37</v>
      </c>
      <c r="E401" t="s">
        <v>10</v>
      </c>
      <c r="F401">
        <v>7.41</v>
      </c>
      <c r="G401" t="s">
        <v>28</v>
      </c>
      <c r="H401" t="str">
        <f t="shared" si="40"/>
        <v>Machine Learning</v>
      </c>
      <c r="I401" t="str">
        <f>IF(AND(Sheet1[[#This Row],[Attendance ]]&gt;65,Sheet1[[#This Row],[Attendance ]]&lt;75),"Yes","No")</f>
        <v>No</v>
      </c>
      <c r="J401" t="str">
        <f>IF(Sheet1[[#This Row],[Attendance ]]&lt;65,"Yes","No")</f>
        <v>Yes</v>
      </c>
    </row>
    <row r="402" spans="1:12" hidden="1" x14ac:dyDescent="0.35">
      <c r="A402" t="s">
        <v>443</v>
      </c>
      <c r="B402" t="s">
        <v>110</v>
      </c>
      <c r="C402" t="s">
        <v>4</v>
      </c>
      <c r="D402">
        <v>81.22</v>
      </c>
      <c r="E402" t="s">
        <v>10</v>
      </c>
      <c r="F402">
        <v>6.69</v>
      </c>
      <c r="G402" t="s">
        <v>6</v>
      </c>
      <c r="H402" t="str">
        <f t="shared" si="40"/>
        <v>DBMS</v>
      </c>
      <c r="I402" t="str">
        <f>IF(AND(Sheet1[[#This Row],[Attendance ]]&gt;65,Sheet1[[#This Row],[Attendance ]]&lt;75),"Yes","No")</f>
        <v>No</v>
      </c>
      <c r="J402" t="str">
        <f>IF(Sheet1[[#This Row],[Attendance ]]&lt;65,"Yes","No")</f>
        <v>No</v>
      </c>
    </row>
    <row r="403" spans="1:12" hidden="1" x14ac:dyDescent="0.35">
      <c r="A403" t="s">
        <v>444</v>
      </c>
      <c r="B403" t="s">
        <v>116</v>
      </c>
      <c r="C403" t="s">
        <v>9</v>
      </c>
      <c r="D403">
        <v>60.31</v>
      </c>
      <c r="E403" t="s">
        <v>5</v>
      </c>
      <c r="F403">
        <v>5.35</v>
      </c>
      <c r="G403" t="s">
        <v>11</v>
      </c>
      <c r="H403" t="str">
        <f t="shared" si="40"/>
        <v>Passed</v>
      </c>
      <c r="I403" t="str">
        <f>IF(AND(Sheet1[[#This Row],[Attendance ]]&gt;65,Sheet1[[#This Row],[Attendance ]]&lt;75),"Yes","No")</f>
        <v>No</v>
      </c>
      <c r="J403" t="str">
        <f>IF(Sheet1[[#This Row],[Attendance ]]&lt;65,"Yes","No")</f>
        <v>Yes</v>
      </c>
    </row>
    <row r="404" spans="1:12" hidden="1" x14ac:dyDescent="0.35">
      <c r="A404" t="s">
        <v>445</v>
      </c>
      <c r="B404" t="s">
        <v>110</v>
      </c>
      <c r="C404" t="s">
        <v>4</v>
      </c>
      <c r="D404">
        <v>78.23</v>
      </c>
      <c r="E404" t="s">
        <v>5</v>
      </c>
      <c r="F404">
        <v>6.03</v>
      </c>
      <c r="G404" t="s">
        <v>6</v>
      </c>
      <c r="H404" t="str">
        <f t="shared" si="40"/>
        <v>Passed</v>
      </c>
      <c r="I404" t="str">
        <f>IF(AND(Sheet1[[#This Row],[Attendance ]]&gt;65,Sheet1[[#This Row],[Attendance ]]&lt;75),"Yes","No")</f>
        <v>No</v>
      </c>
      <c r="J404" t="str">
        <f>IF(Sheet1[[#This Row],[Attendance ]]&lt;65,"Yes","No")</f>
        <v>No</v>
      </c>
    </row>
    <row r="405" spans="1:12" hidden="1" x14ac:dyDescent="0.35">
      <c r="A405" t="s">
        <v>446</v>
      </c>
      <c r="B405" t="s">
        <v>61</v>
      </c>
      <c r="C405" t="s">
        <v>9</v>
      </c>
      <c r="D405">
        <v>98.85</v>
      </c>
      <c r="E405" t="s">
        <v>10</v>
      </c>
      <c r="F405">
        <v>9.19</v>
      </c>
      <c r="G405" t="s">
        <v>6</v>
      </c>
      <c r="H405" t="str">
        <f t="shared" si="40"/>
        <v>DBMS</v>
      </c>
      <c r="I405" t="str">
        <f>IF(AND(Sheet1[[#This Row],[Attendance ]]&gt;65,Sheet1[[#This Row],[Attendance ]]&lt;75),"Yes","No")</f>
        <v>No</v>
      </c>
      <c r="J405" t="str">
        <f>IF(Sheet1[[#This Row],[Attendance ]]&lt;65,"Yes","No")</f>
        <v>No</v>
      </c>
    </row>
    <row r="406" spans="1:12" hidden="1" x14ac:dyDescent="0.35">
      <c r="A406" t="s">
        <v>447</v>
      </c>
      <c r="B406" t="s">
        <v>77</v>
      </c>
      <c r="C406" t="s">
        <v>9</v>
      </c>
      <c r="D406">
        <v>83.19</v>
      </c>
      <c r="E406" t="s">
        <v>5</v>
      </c>
      <c r="F406">
        <v>7.54</v>
      </c>
      <c r="G406" t="s">
        <v>28</v>
      </c>
      <c r="H406" t="str">
        <f t="shared" si="40"/>
        <v>Passed</v>
      </c>
      <c r="I406" t="str">
        <f>IF(AND(Sheet1[[#This Row],[Attendance ]]&gt;65,Sheet1[[#This Row],[Attendance ]]&lt;75),"Yes","No")</f>
        <v>No</v>
      </c>
      <c r="J406" t="str">
        <f>IF(Sheet1[[#This Row],[Attendance ]]&lt;65,"Yes","No")</f>
        <v>No</v>
      </c>
    </row>
    <row r="407" spans="1:12" hidden="1" x14ac:dyDescent="0.35">
      <c r="A407" t="s">
        <v>448</v>
      </c>
      <c r="B407" t="s">
        <v>58</v>
      </c>
      <c r="C407" t="s">
        <v>9</v>
      </c>
      <c r="D407">
        <v>81.48</v>
      </c>
      <c r="E407" t="s">
        <v>10</v>
      </c>
      <c r="F407">
        <v>7.26</v>
      </c>
      <c r="G407" t="s">
        <v>11</v>
      </c>
      <c r="H407" t="str">
        <f t="shared" si="40"/>
        <v>M1</v>
      </c>
      <c r="I407" t="str">
        <f>IF(AND(Sheet1[[#This Row],[Attendance ]]&gt;65,Sheet1[[#This Row],[Attendance ]]&lt;75),"Yes","No")</f>
        <v>No</v>
      </c>
      <c r="J407" t="str">
        <f>IF(Sheet1[[#This Row],[Attendance ]]&lt;65,"Yes","No")</f>
        <v>No</v>
      </c>
    </row>
    <row r="408" spans="1:12" hidden="1" x14ac:dyDescent="0.35">
      <c r="A408" t="s">
        <v>449</v>
      </c>
      <c r="B408" t="s">
        <v>63</v>
      </c>
      <c r="C408" t="s">
        <v>20</v>
      </c>
      <c r="D408">
        <v>88.35</v>
      </c>
      <c r="E408" t="s">
        <v>5</v>
      </c>
      <c r="F408">
        <v>8.9700000000000006</v>
      </c>
      <c r="G408" t="s">
        <v>28</v>
      </c>
      <c r="H408" t="str">
        <f t="shared" si="40"/>
        <v>Passed</v>
      </c>
      <c r="I408" t="str">
        <f>IF(AND(Sheet1[[#This Row],[Attendance ]]&gt;65,Sheet1[[#This Row],[Attendance ]]&lt;75),"Yes","No")</f>
        <v>No</v>
      </c>
      <c r="J408" t="str">
        <f>IF(Sheet1[[#This Row],[Attendance ]]&lt;65,"Yes","No")</f>
        <v>No</v>
      </c>
    </row>
    <row r="409" spans="1:12" hidden="1" x14ac:dyDescent="0.35">
      <c r="A409" t="s">
        <v>450</v>
      </c>
      <c r="B409" t="s">
        <v>77</v>
      </c>
      <c r="C409" t="s">
        <v>20</v>
      </c>
      <c r="D409">
        <v>92.17</v>
      </c>
      <c r="E409" t="s">
        <v>5</v>
      </c>
      <c r="F409">
        <v>5.44</v>
      </c>
      <c r="G409" t="s">
        <v>26</v>
      </c>
      <c r="H409" t="str">
        <f t="shared" si="40"/>
        <v>Passed</v>
      </c>
      <c r="I409" t="str">
        <f>IF(AND(Sheet1[[#This Row],[Attendance ]]&gt;65,Sheet1[[#This Row],[Attendance ]]&lt;75),"Yes","No")</f>
        <v>No</v>
      </c>
      <c r="J409" t="str">
        <f>IF(Sheet1[[#This Row],[Attendance ]]&lt;65,"Yes","No")</f>
        <v>No</v>
      </c>
    </row>
    <row r="410" spans="1:12" hidden="1" x14ac:dyDescent="0.35">
      <c r="A410" t="s">
        <v>451</v>
      </c>
      <c r="B410" t="s">
        <v>98</v>
      </c>
      <c r="C410" t="s">
        <v>13</v>
      </c>
      <c r="D410">
        <v>75.510000000000005</v>
      </c>
      <c r="E410" t="s">
        <v>5</v>
      </c>
      <c r="F410">
        <v>7.29</v>
      </c>
      <c r="G410" t="s">
        <v>6</v>
      </c>
      <c r="H410" t="str">
        <f t="shared" si="40"/>
        <v>Passed</v>
      </c>
      <c r="I410" t="str">
        <f>IF(AND(Sheet1[[#This Row],[Attendance ]]&gt;65,Sheet1[[#This Row],[Attendance ]]&lt;75),"Yes","No")</f>
        <v>No</v>
      </c>
      <c r="J410" t="str">
        <f>IF(Sheet1[[#This Row],[Attendance ]]&lt;65,"Yes","No")</f>
        <v>No</v>
      </c>
    </row>
    <row r="411" spans="1:12" hidden="1" x14ac:dyDescent="0.35">
      <c r="A411" t="s">
        <v>452</v>
      </c>
      <c r="B411" t="s">
        <v>72</v>
      </c>
      <c r="C411" t="s">
        <v>20</v>
      </c>
      <c r="D411">
        <v>99.61</v>
      </c>
      <c r="E411" t="s">
        <v>10</v>
      </c>
      <c r="F411">
        <v>8.9700000000000006</v>
      </c>
      <c r="G411" t="s">
        <v>28</v>
      </c>
      <c r="H411" t="str">
        <f t="shared" si="40"/>
        <v>Machine Learning</v>
      </c>
      <c r="I411" t="str">
        <f>IF(AND(Sheet1[[#This Row],[Attendance ]]&gt;65,Sheet1[[#This Row],[Attendance ]]&lt;75),"Yes","No")</f>
        <v>No</v>
      </c>
      <c r="J411" t="str">
        <f>IF(Sheet1[[#This Row],[Attendance ]]&lt;65,"Yes","No")</f>
        <v>No</v>
      </c>
    </row>
    <row r="412" spans="1:12" x14ac:dyDescent="0.35">
      <c r="A412" t="s">
        <v>453</v>
      </c>
      <c r="B412" t="s">
        <v>43</v>
      </c>
      <c r="C412" t="s">
        <v>20</v>
      </c>
      <c r="D412">
        <v>67.180000000000007</v>
      </c>
      <c r="E412" t="s">
        <v>5</v>
      </c>
      <c r="F412">
        <v>5.95</v>
      </c>
      <c r="G412" t="s">
        <v>26</v>
      </c>
      <c r="H412" t="str">
        <f t="shared" si="40"/>
        <v>Passed</v>
      </c>
      <c r="I412" t="str">
        <f>IF(AND(Sheet1[[#This Row],[Attendance ]]&gt;65,Sheet1[[#This Row],[Attendance ]]&lt;75),"Yes","No")</f>
        <v>Yes</v>
      </c>
      <c r="J412" t="str">
        <f>IF(Sheet1[[#This Row],[Attendance ]]&lt;65,"Yes","No")</f>
        <v>No</v>
      </c>
      <c r="K412" t="str">
        <f>CHOOSE(MOD(ROW()-2,8)+1,
"Kadapa",
"Ananthapur",
"Rayachoti",
"Nellore",
"Chittoor",
"Madanapalli",
"Rajampeta",
"Tirupati")</f>
        <v>Rayachoti</v>
      </c>
      <c r="L412" t="str">
        <f>IF(AND(G410="4th Year",E410="Pass",F410&gt;=7),"Yes","No")</f>
        <v>No</v>
      </c>
    </row>
    <row r="413" spans="1:12" hidden="1" x14ac:dyDescent="0.35">
      <c r="A413" t="s">
        <v>454</v>
      </c>
      <c r="B413" t="s">
        <v>107</v>
      </c>
      <c r="C413" t="s">
        <v>20</v>
      </c>
      <c r="D413">
        <v>63.88</v>
      </c>
      <c r="E413" t="s">
        <v>5</v>
      </c>
      <c r="F413">
        <v>9.58</v>
      </c>
      <c r="G413" t="s">
        <v>28</v>
      </c>
      <c r="H413" t="str">
        <f t="shared" si="40"/>
        <v>Passed</v>
      </c>
      <c r="I413" t="str">
        <f>IF(AND(Sheet1[[#This Row],[Attendance ]]&gt;65,Sheet1[[#This Row],[Attendance ]]&lt;75),"Yes","No")</f>
        <v>No</v>
      </c>
      <c r="J413" t="str">
        <f>IF(Sheet1[[#This Row],[Attendance ]]&lt;65,"Yes","No")</f>
        <v>Yes</v>
      </c>
    </row>
    <row r="414" spans="1:12" x14ac:dyDescent="0.35">
      <c r="A414" t="s">
        <v>455</v>
      </c>
      <c r="B414" t="s">
        <v>98</v>
      </c>
      <c r="C414" t="s">
        <v>9</v>
      </c>
      <c r="D414">
        <v>67.680000000000007</v>
      </c>
      <c r="E414" t="s">
        <v>5</v>
      </c>
      <c r="F414">
        <v>5.85</v>
      </c>
      <c r="G414" t="s">
        <v>26</v>
      </c>
      <c r="H414" t="str">
        <f t="shared" si="40"/>
        <v>Passed</v>
      </c>
      <c r="I414" t="str">
        <f>IF(AND(Sheet1[[#This Row],[Attendance ]]&gt;65,Sheet1[[#This Row],[Attendance ]]&lt;75),"Yes","No")</f>
        <v>Yes</v>
      </c>
      <c r="J414" t="str">
        <f>IF(Sheet1[[#This Row],[Attendance ]]&lt;65,"Yes","No")</f>
        <v>No</v>
      </c>
      <c r="K414" t="str">
        <f>CHOOSE(MOD(ROW()-2,8)+1,
"Kadapa",
"Ananthapur",
"Rayachoti",
"Nellore",
"Chittoor",
"Madanapalli",
"Rajampeta",
"Tirupati")</f>
        <v>Chittoor</v>
      </c>
      <c r="L414" t="str">
        <f>IF(AND(G412="4th Year",E412="Pass",F412&gt;=7),"Yes","No")</f>
        <v>No</v>
      </c>
    </row>
    <row r="415" spans="1:12" hidden="1" x14ac:dyDescent="0.35">
      <c r="A415" t="s">
        <v>456</v>
      </c>
      <c r="B415" t="s">
        <v>61</v>
      </c>
      <c r="C415" t="s">
        <v>35</v>
      </c>
      <c r="D415">
        <v>98.35</v>
      </c>
      <c r="E415" t="s">
        <v>5</v>
      </c>
      <c r="F415">
        <v>7.64</v>
      </c>
      <c r="G415" t="s">
        <v>26</v>
      </c>
      <c r="H415" t="str">
        <f t="shared" si="40"/>
        <v>Passed</v>
      </c>
      <c r="I415" t="str">
        <f>IF(AND(Sheet1[[#This Row],[Attendance ]]&gt;65,Sheet1[[#This Row],[Attendance ]]&lt;75),"Yes","No")</f>
        <v>No</v>
      </c>
      <c r="J415" t="str">
        <f>IF(Sheet1[[#This Row],[Attendance ]]&lt;65,"Yes","No")</f>
        <v>No</v>
      </c>
    </row>
    <row r="416" spans="1:12" x14ac:dyDescent="0.35">
      <c r="A416" t="s">
        <v>457</v>
      </c>
      <c r="B416" t="s">
        <v>3</v>
      </c>
      <c r="C416" t="s">
        <v>4</v>
      </c>
      <c r="D416">
        <v>65.680000000000007</v>
      </c>
      <c r="E416" t="s">
        <v>5</v>
      </c>
      <c r="F416">
        <v>6.87</v>
      </c>
      <c r="G416" t="s">
        <v>26</v>
      </c>
      <c r="H416" t="str">
        <f t="shared" si="40"/>
        <v>Passed</v>
      </c>
      <c r="I416" t="str">
        <f>IF(AND(Sheet1[[#This Row],[Attendance ]]&gt;65,Sheet1[[#This Row],[Attendance ]]&lt;75),"Yes","No")</f>
        <v>Yes</v>
      </c>
      <c r="J416" t="str">
        <f>IF(Sheet1[[#This Row],[Attendance ]]&lt;65,"Yes","No")</f>
        <v>No</v>
      </c>
      <c r="K416" t="str">
        <f>CHOOSE(MOD(ROW()-2,8)+1,
"Kadapa",
"Ananthapur",
"Rayachoti",
"Nellore",
"Chittoor",
"Madanapalli",
"Rajampeta",
"Tirupati")</f>
        <v>Rajampeta</v>
      </c>
      <c r="L416" t="str">
        <f>IF(AND(G414="4th Year",E414="Pass",F414&gt;=7),"Yes","No")</f>
        <v>No</v>
      </c>
    </row>
    <row r="417" spans="1:12" hidden="1" x14ac:dyDescent="0.35">
      <c r="A417" t="s">
        <v>458</v>
      </c>
      <c r="B417" t="s">
        <v>61</v>
      </c>
      <c r="C417" t="s">
        <v>35</v>
      </c>
      <c r="D417">
        <v>78.97</v>
      </c>
      <c r="E417" t="s">
        <v>5</v>
      </c>
      <c r="F417">
        <v>6.53</v>
      </c>
      <c r="G417" t="s">
        <v>26</v>
      </c>
      <c r="H417" t="str">
        <f t="shared" si="40"/>
        <v>Passed</v>
      </c>
      <c r="I417" t="str">
        <f>IF(AND(Sheet1[[#This Row],[Attendance ]]&gt;65,Sheet1[[#This Row],[Attendance ]]&lt;75),"Yes","No")</f>
        <v>No</v>
      </c>
      <c r="J417" t="str">
        <f>IF(Sheet1[[#This Row],[Attendance ]]&lt;65,"Yes","No")</f>
        <v>No</v>
      </c>
    </row>
    <row r="418" spans="1:12" hidden="1" x14ac:dyDescent="0.35">
      <c r="A418" t="s">
        <v>459</v>
      </c>
      <c r="B418" t="s">
        <v>51</v>
      </c>
      <c r="C418" t="s">
        <v>23</v>
      </c>
      <c r="D418">
        <v>84.71</v>
      </c>
      <c r="E418" t="s">
        <v>5</v>
      </c>
      <c r="F418">
        <v>8.52</v>
      </c>
      <c r="G418" t="s">
        <v>6</v>
      </c>
      <c r="H418" t="str">
        <f t="shared" si="40"/>
        <v>Passed</v>
      </c>
      <c r="I418" t="str">
        <f>IF(AND(Sheet1[[#This Row],[Attendance ]]&gt;65,Sheet1[[#This Row],[Attendance ]]&lt;75),"Yes","No")</f>
        <v>No</v>
      </c>
      <c r="J418" t="str">
        <f>IF(Sheet1[[#This Row],[Attendance ]]&lt;65,"Yes","No")</f>
        <v>No</v>
      </c>
    </row>
    <row r="419" spans="1:12" hidden="1" x14ac:dyDescent="0.35">
      <c r="A419" t="s">
        <v>460</v>
      </c>
      <c r="B419" t="s">
        <v>110</v>
      </c>
      <c r="C419" t="s">
        <v>9</v>
      </c>
      <c r="D419">
        <v>88.29</v>
      </c>
      <c r="E419" t="s">
        <v>5</v>
      </c>
      <c r="F419">
        <v>9.2200000000000006</v>
      </c>
      <c r="G419" t="s">
        <v>28</v>
      </c>
      <c r="H419" t="str">
        <f t="shared" si="40"/>
        <v>Passed</v>
      </c>
      <c r="I419" t="str">
        <f>IF(AND(Sheet1[[#This Row],[Attendance ]]&gt;65,Sheet1[[#This Row],[Attendance ]]&lt;75),"Yes","No")</f>
        <v>No</v>
      </c>
      <c r="J419" t="str">
        <f>IF(Sheet1[[#This Row],[Attendance ]]&lt;65,"Yes","No")</f>
        <v>No</v>
      </c>
    </row>
    <row r="420" spans="1:12" hidden="1" x14ac:dyDescent="0.35">
      <c r="A420" t="s">
        <v>461</v>
      </c>
      <c r="B420" t="s">
        <v>22</v>
      </c>
      <c r="C420" t="s">
        <v>35</v>
      </c>
      <c r="D420">
        <v>92.1</v>
      </c>
      <c r="E420" t="s">
        <v>5</v>
      </c>
      <c r="F420">
        <v>5.56</v>
      </c>
      <c r="G420" t="s">
        <v>26</v>
      </c>
      <c r="H420" t="str">
        <f t="shared" si="40"/>
        <v>Passed</v>
      </c>
      <c r="I420" t="str">
        <f>IF(AND(Sheet1[[#This Row],[Attendance ]]&gt;65,Sheet1[[#This Row],[Attendance ]]&lt;75),"Yes","No")</f>
        <v>No</v>
      </c>
      <c r="J420" t="str">
        <f>IF(Sheet1[[#This Row],[Attendance ]]&lt;65,"Yes","No")</f>
        <v>No</v>
      </c>
    </row>
    <row r="421" spans="1:12" hidden="1" x14ac:dyDescent="0.35">
      <c r="A421" t="s">
        <v>462</v>
      </c>
      <c r="B421" t="s">
        <v>22</v>
      </c>
      <c r="C421" t="s">
        <v>35</v>
      </c>
      <c r="D421">
        <v>60.9</v>
      </c>
      <c r="E421" t="s">
        <v>5</v>
      </c>
      <c r="F421">
        <v>8.1199999999999992</v>
      </c>
      <c r="G421" t="s">
        <v>28</v>
      </c>
      <c r="H421" t="str">
        <f t="shared" si="40"/>
        <v>Passed</v>
      </c>
      <c r="I421" t="str">
        <f>IF(AND(Sheet1[[#This Row],[Attendance ]]&gt;65,Sheet1[[#This Row],[Attendance ]]&lt;75),"Yes","No")</f>
        <v>No</v>
      </c>
      <c r="J421" t="str">
        <f>IF(Sheet1[[#This Row],[Attendance ]]&lt;65,"Yes","No")</f>
        <v>Yes</v>
      </c>
    </row>
    <row r="422" spans="1:12" x14ac:dyDescent="0.35">
      <c r="A422" t="s">
        <v>463</v>
      </c>
      <c r="B422" t="s">
        <v>110</v>
      </c>
      <c r="C422" t="s">
        <v>13</v>
      </c>
      <c r="D422">
        <v>72.59</v>
      </c>
      <c r="E422" t="s">
        <v>5</v>
      </c>
      <c r="F422">
        <v>6.65</v>
      </c>
      <c r="G422" t="s">
        <v>28</v>
      </c>
      <c r="H422" t="str">
        <f t="shared" si="40"/>
        <v>Passed</v>
      </c>
      <c r="I422" t="str">
        <f>IF(AND(Sheet1[[#This Row],[Attendance ]]&gt;65,Sheet1[[#This Row],[Attendance ]]&lt;75),"Yes","No")</f>
        <v>Yes</v>
      </c>
      <c r="J422" t="str">
        <f>IF(Sheet1[[#This Row],[Attendance ]]&lt;65,"Yes","No")</f>
        <v>No</v>
      </c>
      <c r="K422" t="str">
        <f>CHOOSE(MOD(ROW()-2,8)+1,
"Kadapa",
"Ananthapur",
"Rayachoti",
"Nellore",
"Chittoor",
"Madanapalli",
"Rajampeta",
"Tirupati")</f>
        <v>Chittoor</v>
      </c>
      <c r="L422" t="str">
        <f>IF(AND(G420="4th Year",E420="Pass",F420&gt;=7),"Yes","No")</f>
        <v>No</v>
      </c>
    </row>
    <row r="423" spans="1:12" hidden="1" x14ac:dyDescent="0.35">
      <c r="A423" t="s">
        <v>464</v>
      </c>
      <c r="B423" t="s">
        <v>116</v>
      </c>
      <c r="C423" t="s">
        <v>9</v>
      </c>
      <c r="D423">
        <v>81.53</v>
      </c>
      <c r="E423" t="s">
        <v>5</v>
      </c>
      <c r="F423">
        <v>5.09</v>
      </c>
      <c r="G423" t="s">
        <v>26</v>
      </c>
      <c r="H423" t="str">
        <f t="shared" si="40"/>
        <v>Passed</v>
      </c>
      <c r="I423" t="str">
        <f>IF(AND(Sheet1[[#This Row],[Attendance ]]&gt;65,Sheet1[[#This Row],[Attendance ]]&lt;75),"Yes","No")</f>
        <v>No</v>
      </c>
      <c r="J423" t="str">
        <f>IF(Sheet1[[#This Row],[Attendance ]]&lt;65,"Yes","No")</f>
        <v>No</v>
      </c>
    </row>
    <row r="424" spans="1:12" x14ac:dyDescent="0.35">
      <c r="A424" t="s">
        <v>465</v>
      </c>
      <c r="B424" t="s">
        <v>164</v>
      </c>
      <c r="C424" t="s">
        <v>9</v>
      </c>
      <c r="D424">
        <v>67.94</v>
      </c>
      <c r="E424" t="s">
        <v>5</v>
      </c>
      <c r="F424">
        <v>5.35</v>
      </c>
      <c r="G424" t="s">
        <v>11</v>
      </c>
      <c r="H424" t="str">
        <f t="shared" si="40"/>
        <v>Passed</v>
      </c>
      <c r="I424" t="str">
        <f>IF(AND(Sheet1[[#This Row],[Attendance ]]&gt;65,Sheet1[[#This Row],[Attendance ]]&lt;75),"Yes","No")</f>
        <v>Yes</v>
      </c>
      <c r="J424" t="str">
        <f>IF(Sheet1[[#This Row],[Attendance ]]&lt;65,"Yes","No")</f>
        <v>No</v>
      </c>
      <c r="K424" t="str">
        <f>CHOOSE(MOD(ROW()-2,8)+1,
"Kadapa",
"Ananthapur",
"Rayachoti",
"Nellore",
"Chittoor",
"Madanapalli",
"Rajampeta",
"Tirupati")</f>
        <v>Rajampeta</v>
      </c>
      <c r="L424" t="str">
        <f>IF(AND(G422="4th Year",E422="Pass",F422&gt;=7),"Yes","No")</f>
        <v>No</v>
      </c>
    </row>
    <row r="425" spans="1:12" hidden="1" x14ac:dyDescent="0.35">
      <c r="A425" t="s">
        <v>466</v>
      </c>
      <c r="B425" t="s">
        <v>8</v>
      </c>
      <c r="C425" t="s">
        <v>13</v>
      </c>
      <c r="D425">
        <v>61.03</v>
      </c>
      <c r="E425" t="s">
        <v>5</v>
      </c>
      <c r="F425">
        <v>7.31</v>
      </c>
      <c r="G425" t="s">
        <v>6</v>
      </c>
      <c r="H425" t="str">
        <f t="shared" si="40"/>
        <v>Passed</v>
      </c>
      <c r="I425" t="str">
        <f>IF(AND(Sheet1[[#This Row],[Attendance ]]&gt;65,Sheet1[[#This Row],[Attendance ]]&lt;75),"Yes","No")</f>
        <v>No</v>
      </c>
      <c r="J425" t="str">
        <f>IF(Sheet1[[#This Row],[Attendance ]]&lt;65,"Yes","No")</f>
        <v>Yes</v>
      </c>
    </row>
    <row r="426" spans="1:12" hidden="1" x14ac:dyDescent="0.35">
      <c r="A426" t="s">
        <v>467</v>
      </c>
      <c r="B426" t="s">
        <v>39</v>
      </c>
      <c r="C426" t="s">
        <v>13</v>
      </c>
      <c r="D426">
        <v>60.69</v>
      </c>
      <c r="E426" t="s">
        <v>5</v>
      </c>
      <c r="F426">
        <v>7.49</v>
      </c>
      <c r="G426" t="s">
        <v>28</v>
      </c>
      <c r="H426" t="str">
        <f t="shared" si="40"/>
        <v>Passed</v>
      </c>
      <c r="I426" t="str">
        <f>IF(AND(Sheet1[[#This Row],[Attendance ]]&gt;65,Sheet1[[#This Row],[Attendance ]]&lt;75),"Yes","No")</f>
        <v>No</v>
      </c>
      <c r="J426" t="str">
        <f>IF(Sheet1[[#This Row],[Attendance ]]&lt;65,"Yes","No")</f>
        <v>Yes</v>
      </c>
    </row>
    <row r="427" spans="1:12" hidden="1" x14ac:dyDescent="0.35">
      <c r="A427" t="s">
        <v>468</v>
      </c>
      <c r="B427" t="s">
        <v>107</v>
      </c>
      <c r="C427" t="s">
        <v>20</v>
      </c>
      <c r="D427">
        <v>91.08</v>
      </c>
      <c r="E427" t="s">
        <v>5</v>
      </c>
      <c r="F427">
        <v>6.8</v>
      </c>
      <c r="G427" t="s">
        <v>6</v>
      </c>
      <c r="H427" t="str">
        <f t="shared" si="40"/>
        <v>Passed</v>
      </c>
      <c r="I427" t="str">
        <f>IF(AND(Sheet1[[#This Row],[Attendance ]]&gt;65,Sheet1[[#This Row],[Attendance ]]&lt;75),"Yes","No")</f>
        <v>No</v>
      </c>
      <c r="J427" t="str">
        <f>IF(Sheet1[[#This Row],[Attendance ]]&lt;65,"Yes","No")</f>
        <v>No</v>
      </c>
    </row>
    <row r="428" spans="1:12" hidden="1" x14ac:dyDescent="0.35">
      <c r="A428" t="s">
        <v>469</v>
      </c>
      <c r="B428" t="s">
        <v>43</v>
      </c>
      <c r="C428" t="s">
        <v>13</v>
      </c>
      <c r="D428">
        <v>92.34</v>
      </c>
      <c r="E428" t="s">
        <v>10</v>
      </c>
      <c r="F428">
        <v>9.26</v>
      </c>
      <c r="G428" t="s">
        <v>6</v>
      </c>
      <c r="H428" t="str">
        <f t="shared" si="40"/>
        <v>DBMS</v>
      </c>
      <c r="I428" t="str">
        <f>IF(AND(Sheet1[[#This Row],[Attendance ]]&gt;65,Sheet1[[#This Row],[Attendance ]]&lt;75),"Yes","No")</f>
        <v>No</v>
      </c>
      <c r="J428" t="str">
        <f>IF(Sheet1[[#This Row],[Attendance ]]&lt;65,"Yes","No")</f>
        <v>No</v>
      </c>
    </row>
    <row r="429" spans="1:12" x14ac:dyDescent="0.35">
      <c r="A429" t="s">
        <v>470</v>
      </c>
      <c r="B429" t="s">
        <v>58</v>
      </c>
      <c r="C429" t="s">
        <v>23</v>
      </c>
      <c r="D429">
        <v>65.31</v>
      </c>
      <c r="E429" t="s">
        <v>10</v>
      </c>
      <c r="F429">
        <v>8.58</v>
      </c>
      <c r="G429" t="s">
        <v>6</v>
      </c>
      <c r="H429" t="str">
        <f t="shared" si="40"/>
        <v>DBMS</v>
      </c>
      <c r="I429" t="str">
        <f>IF(AND(Sheet1[[#This Row],[Attendance ]]&gt;65,Sheet1[[#This Row],[Attendance ]]&lt;75),"Yes","No")</f>
        <v>Yes</v>
      </c>
      <c r="J429" t="str">
        <f>IF(Sheet1[[#This Row],[Attendance ]]&lt;65,"Yes","No")</f>
        <v>No</v>
      </c>
      <c r="K429" t="str">
        <f>CHOOSE(MOD(ROW()-2,8)+1,
"Kadapa",
"Ananthapur",
"Rayachoti",
"Nellore",
"Chittoor",
"Madanapalli",
"Rajampeta",
"Tirupati")</f>
        <v>Nellore</v>
      </c>
      <c r="L429" t="str">
        <f>IF(AND(G427="4th Year",E427="Pass",F427&gt;=7),"Yes","No")</f>
        <v>No</v>
      </c>
    </row>
    <row r="430" spans="1:12" hidden="1" x14ac:dyDescent="0.35">
      <c r="A430" t="s">
        <v>471</v>
      </c>
      <c r="B430" t="s">
        <v>3</v>
      </c>
      <c r="C430" t="s">
        <v>13</v>
      </c>
      <c r="D430">
        <v>75.88</v>
      </c>
      <c r="E430" t="s">
        <v>5</v>
      </c>
      <c r="F430">
        <v>5.94</v>
      </c>
      <c r="G430" t="s">
        <v>28</v>
      </c>
      <c r="H430" t="str">
        <f t="shared" si="40"/>
        <v>Passed</v>
      </c>
      <c r="I430" t="str">
        <f>IF(AND(Sheet1[[#This Row],[Attendance ]]&gt;65,Sheet1[[#This Row],[Attendance ]]&lt;75),"Yes","No")</f>
        <v>No</v>
      </c>
      <c r="J430" t="str">
        <f>IF(Sheet1[[#This Row],[Attendance ]]&lt;65,"Yes","No")</f>
        <v>No</v>
      </c>
    </row>
    <row r="431" spans="1:12" hidden="1" x14ac:dyDescent="0.35">
      <c r="A431" t="s">
        <v>472</v>
      </c>
      <c r="B431" t="s">
        <v>30</v>
      </c>
      <c r="C431" t="s">
        <v>13</v>
      </c>
      <c r="D431">
        <v>87.89</v>
      </c>
      <c r="E431" t="s">
        <v>5</v>
      </c>
      <c r="F431">
        <v>9.11</v>
      </c>
      <c r="G431" t="s">
        <v>26</v>
      </c>
      <c r="H431" t="str">
        <f t="shared" si="40"/>
        <v>Passed</v>
      </c>
      <c r="I431" t="str">
        <f>IF(AND(Sheet1[[#This Row],[Attendance ]]&gt;65,Sheet1[[#This Row],[Attendance ]]&lt;75),"Yes","No")</f>
        <v>No</v>
      </c>
      <c r="J431" t="str">
        <f>IF(Sheet1[[#This Row],[Attendance ]]&lt;65,"Yes","No")</f>
        <v>No</v>
      </c>
    </row>
    <row r="432" spans="1:12" hidden="1" x14ac:dyDescent="0.35">
      <c r="A432" t="s">
        <v>473</v>
      </c>
      <c r="B432" t="s">
        <v>63</v>
      </c>
      <c r="C432" t="s">
        <v>9</v>
      </c>
      <c r="D432">
        <v>84.91</v>
      </c>
      <c r="E432" t="s">
        <v>5</v>
      </c>
      <c r="F432">
        <v>6.52</v>
      </c>
      <c r="G432" t="s">
        <v>28</v>
      </c>
      <c r="H432" t="str">
        <f t="shared" si="40"/>
        <v>Passed</v>
      </c>
      <c r="I432" t="str">
        <f>IF(AND(Sheet1[[#This Row],[Attendance ]]&gt;65,Sheet1[[#This Row],[Attendance ]]&lt;75),"Yes","No")</f>
        <v>No</v>
      </c>
      <c r="J432" t="str">
        <f>IF(Sheet1[[#This Row],[Attendance ]]&lt;65,"Yes","No")</f>
        <v>No</v>
      </c>
    </row>
    <row r="433" spans="1:12" hidden="1" x14ac:dyDescent="0.35">
      <c r="A433" t="s">
        <v>474</v>
      </c>
      <c r="B433" t="s">
        <v>98</v>
      </c>
      <c r="C433" t="s">
        <v>9</v>
      </c>
      <c r="D433">
        <v>87.83</v>
      </c>
      <c r="E433" t="s">
        <v>5</v>
      </c>
      <c r="F433">
        <v>7.17</v>
      </c>
      <c r="G433" t="s">
        <v>28</v>
      </c>
      <c r="H433" t="str">
        <f t="shared" si="40"/>
        <v>Passed</v>
      </c>
      <c r="I433" t="str">
        <f>IF(AND(Sheet1[[#This Row],[Attendance ]]&gt;65,Sheet1[[#This Row],[Attendance ]]&lt;75),"Yes","No")</f>
        <v>No</v>
      </c>
      <c r="J433" t="str">
        <f>IF(Sheet1[[#This Row],[Attendance ]]&lt;65,"Yes","No")</f>
        <v>No</v>
      </c>
    </row>
    <row r="434" spans="1:12" hidden="1" x14ac:dyDescent="0.35">
      <c r="A434" t="s">
        <v>475</v>
      </c>
      <c r="B434" t="s">
        <v>8</v>
      </c>
      <c r="C434" t="s">
        <v>35</v>
      </c>
      <c r="D434">
        <v>88.78</v>
      </c>
      <c r="E434" t="s">
        <v>5</v>
      </c>
      <c r="F434">
        <v>8.4499999999999993</v>
      </c>
      <c r="G434" t="s">
        <v>6</v>
      </c>
      <c r="H434" t="str">
        <f t="shared" si="40"/>
        <v>Passed</v>
      </c>
      <c r="I434" t="str">
        <f>IF(AND(Sheet1[[#This Row],[Attendance ]]&gt;65,Sheet1[[#This Row],[Attendance ]]&lt;75),"Yes","No")</f>
        <v>No</v>
      </c>
      <c r="J434" t="str">
        <f>IF(Sheet1[[#This Row],[Attendance ]]&lt;65,"Yes","No")</f>
        <v>No</v>
      </c>
    </row>
    <row r="435" spans="1:12" hidden="1" x14ac:dyDescent="0.35">
      <c r="A435" t="s">
        <v>476</v>
      </c>
      <c r="B435" t="s">
        <v>37</v>
      </c>
      <c r="C435" t="s">
        <v>20</v>
      </c>
      <c r="D435">
        <v>62.6</v>
      </c>
      <c r="E435" t="s">
        <v>5</v>
      </c>
      <c r="F435">
        <v>5.69</v>
      </c>
      <c r="G435" t="s">
        <v>28</v>
      </c>
      <c r="H435" t="str">
        <f t="shared" si="40"/>
        <v>Passed</v>
      </c>
      <c r="I435" t="str">
        <f>IF(AND(Sheet1[[#This Row],[Attendance ]]&gt;65,Sheet1[[#This Row],[Attendance ]]&lt;75),"Yes","No")</f>
        <v>No</v>
      </c>
      <c r="J435" t="str">
        <f>IF(Sheet1[[#This Row],[Attendance ]]&lt;65,"Yes","No")</f>
        <v>Yes</v>
      </c>
    </row>
    <row r="436" spans="1:12" hidden="1" x14ac:dyDescent="0.35">
      <c r="A436" t="s">
        <v>477</v>
      </c>
      <c r="B436" t="s">
        <v>110</v>
      </c>
      <c r="C436" t="s">
        <v>20</v>
      </c>
      <c r="D436">
        <v>85.66</v>
      </c>
      <c r="E436" t="s">
        <v>5</v>
      </c>
      <c r="F436">
        <v>9.27</v>
      </c>
      <c r="G436" t="s">
        <v>6</v>
      </c>
      <c r="H436" t="str">
        <f t="shared" si="40"/>
        <v>Passed</v>
      </c>
      <c r="I436" t="str">
        <f>IF(AND(Sheet1[[#This Row],[Attendance ]]&gt;65,Sheet1[[#This Row],[Attendance ]]&lt;75),"Yes","No")</f>
        <v>No</v>
      </c>
      <c r="J436" t="str">
        <f>IF(Sheet1[[#This Row],[Attendance ]]&lt;65,"Yes","No")</f>
        <v>No</v>
      </c>
    </row>
    <row r="437" spans="1:12" hidden="1" x14ac:dyDescent="0.35">
      <c r="A437" t="s">
        <v>478</v>
      </c>
      <c r="B437" t="s">
        <v>25</v>
      </c>
      <c r="C437" t="s">
        <v>13</v>
      </c>
      <c r="D437">
        <v>91.16</v>
      </c>
      <c r="E437" t="s">
        <v>5</v>
      </c>
      <c r="F437">
        <v>8.1</v>
      </c>
      <c r="G437" t="s">
        <v>26</v>
      </c>
      <c r="H437" t="str">
        <f t="shared" si="40"/>
        <v>Passed</v>
      </c>
      <c r="I437" t="str">
        <f>IF(AND(Sheet1[[#This Row],[Attendance ]]&gt;65,Sheet1[[#This Row],[Attendance ]]&lt;75),"Yes","No")</f>
        <v>No</v>
      </c>
      <c r="J437" t="str">
        <f>IF(Sheet1[[#This Row],[Attendance ]]&lt;65,"Yes","No")</f>
        <v>No</v>
      </c>
    </row>
    <row r="438" spans="1:12" hidden="1" x14ac:dyDescent="0.35">
      <c r="A438" t="s">
        <v>479</v>
      </c>
      <c r="B438" t="s">
        <v>77</v>
      </c>
      <c r="C438" t="s">
        <v>4</v>
      </c>
      <c r="D438">
        <v>78.19</v>
      </c>
      <c r="E438" t="s">
        <v>5</v>
      </c>
      <c r="F438">
        <v>5.74</v>
      </c>
      <c r="G438" t="s">
        <v>6</v>
      </c>
      <c r="H438" t="str">
        <f t="shared" si="40"/>
        <v>Passed</v>
      </c>
      <c r="I438" t="str">
        <f>IF(AND(Sheet1[[#This Row],[Attendance ]]&gt;65,Sheet1[[#This Row],[Attendance ]]&lt;75),"Yes","No")</f>
        <v>No</v>
      </c>
      <c r="J438" t="str">
        <f>IF(Sheet1[[#This Row],[Attendance ]]&lt;65,"Yes","No")</f>
        <v>No</v>
      </c>
    </row>
    <row r="439" spans="1:12" hidden="1" x14ac:dyDescent="0.35">
      <c r="A439" t="s">
        <v>480</v>
      </c>
      <c r="B439" t="s">
        <v>98</v>
      </c>
      <c r="C439" t="s">
        <v>13</v>
      </c>
      <c r="D439">
        <v>80.87</v>
      </c>
      <c r="E439" t="s">
        <v>5</v>
      </c>
      <c r="F439">
        <v>6.71</v>
      </c>
      <c r="G439" t="s">
        <v>28</v>
      </c>
      <c r="H439" t="str">
        <f t="shared" si="40"/>
        <v>Passed</v>
      </c>
      <c r="I439" t="str">
        <f>IF(AND(Sheet1[[#This Row],[Attendance ]]&gt;65,Sheet1[[#This Row],[Attendance ]]&lt;75),"Yes","No")</f>
        <v>No</v>
      </c>
      <c r="J439" t="str">
        <f>IF(Sheet1[[#This Row],[Attendance ]]&lt;65,"Yes","No")</f>
        <v>No</v>
      </c>
    </row>
    <row r="440" spans="1:12" hidden="1" x14ac:dyDescent="0.35">
      <c r="A440" t="s">
        <v>481</v>
      </c>
      <c r="B440" t="s">
        <v>110</v>
      </c>
      <c r="C440" t="s">
        <v>13</v>
      </c>
      <c r="D440">
        <v>78.84</v>
      </c>
      <c r="E440" t="s">
        <v>5</v>
      </c>
      <c r="F440">
        <v>5.21</v>
      </c>
      <c r="G440" t="s">
        <v>6</v>
      </c>
      <c r="H440" t="str">
        <f t="shared" si="40"/>
        <v>Passed</v>
      </c>
      <c r="I440" t="str">
        <f>IF(AND(Sheet1[[#This Row],[Attendance ]]&gt;65,Sheet1[[#This Row],[Attendance ]]&lt;75),"Yes","No")</f>
        <v>No</v>
      </c>
      <c r="J440" t="str">
        <f>IF(Sheet1[[#This Row],[Attendance ]]&lt;65,"Yes","No")</f>
        <v>No</v>
      </c>
    </row>
    <row r="441" spans="1:12" hidden="1" x14ac:dyDescent="0.35">
      <c r="A441" t="s">
        <v>482</v>
      </c>
      <c r="B441" t="s">
        <v>61</v>
      </c>
      <c r="C441" t="s">
        <v>4</v>
      </c>
      <c r="D441">
        <v>80.239999999999995</v>
      </c>
      <c r="E441" t="s">
        <v>5</v>
      </c>
      <c r="F441">
        <v>7.89</v>
      </c>
      <c r="G441" t="s">
        <v>26</v>
      </c>
      <c r="H441" t="str">
        <f t="shared" si="40"/>
        <v>Passed</v>
      </c>
      <c r="I441" t="str">
        <f>IF(AND(Sheet1[[#This Row],[Attendance ]]&gt;65,Sheet1[[#This Row],[Attendance ]]&lt;75),"Yes","No")</f>
        <v>No</v>
      </c>
      <c r="J441" t="str">
        <f>IF(Sheet1[[#This Row],[Attendance ]]&lt;65,"Yes","No")</f>
        <v>No</v>
      </c>
    </row>
    <row r="442" spans="1:12" x14ac:dyDescent="0.35">
      <c r="A442" t="s">
        <v>483</v>
      </c>
      <c r="B442" t="s">
        <v>98</v>
      </c>
      <c r="C442" t="s">
        <v>13</v>
      </c>
      <c r="D442">
        <v>70.42</v>
      </c>
      <c r="E442" t="s">
        <v>5</v>
      </c>
      <c r="F442">
        <v>6.84</v>
      </c>
      <c r="G442" t="s">
        <v>6</v>
      </c>
      <c r="H442" t="str">
        <f t="shared" si="40"/>
        <v>Passed</v>
      </c>
      <c r="I442" t="str">
        <f>IF(AND(Sheet1[[#This Row],[Attendance ]]&gt;65,Sheet1[[#This Row],[Attendance ]]&lt;75),"Yes","No")</f>
        <v>Yes</v>
      </c>
      <c r="J442" t="str">
        <f>IF(Sheet1[[#This Row],[Attendance ]]&lt;65,"Yes","No")</f>
        <v>No</v>
      </c>
      <c r="K442" t="str">
        <f t="shared" ref="K442:K443" si="43">CHOOSE(MOD(ROW()-2,8)+1,
"Kadapa",
"Ananthapur",
"Rayachoti",
"Nellore",
"Chittoor",
"Madanapalli",
"Rajampeta",
"Tirupati")</f>
        <v>Kadapa</v>
      </c>
      <c r="L442" t="str">
        <f t="shared" ref="L442:L443" si="44">IF(AND(G440="4th Year",E440="Pass",F440&gt;=7),"Yes","No")</f>
        <v>No</v>
      </c>
    </row>
    <row r="443" spans="1:12" x14ac:dyDescent="0.35">
      <c r="A443" t="s">
        <v>484</v>
      </c>
      <c r="B443" t="s">
        <v>103</v>
      </c>
      <c r="C443" t="s">
        <v>9</v>
      </c>
      <c r="D443">
        <v>70.66</v>
      </c>
      <c r="E443" t="s">
        <v>5</v>
      </c>
      <c r="F443">
        <v>9.6300000000000008</v>
      </c>
      <c r="G443" t="s">
        <v>26</v>
      </c>
      <c r="H443" t="str">
        <f t="shared" si="40"/>
        <v>Passed</v>
      </c>
      <c r="I443" t="str">
        <f>IF(AND(Sheet1[[#This Row],[Attendance ]]&gt;65,Sheet1[[#This Row],[Attendance ]]&lt;75),"Yes","No")</f>
        <v>Yes</v>
      </c>
      <c r="J443" t="str">
        <f>IF(Sheet1[[#This Row],[Attendance ]]&lt;65,"Yes","No")</f>
        <v>No</v>
      </c>
      <c r="K443" t="str">
        <f t="shared" si="43"/>
        <v>Ananthapur</v>
      </c>
      <c r="L443" t="str">
        <f t="shared" si="44"/>
        <v>Yes</v>
      </c>
    </row>
    <row r="444" spans="1:12" hidden="1" x14ac:dyDescent="0.35">
      <c r="A444" t="s">
        <v>485</v>
      </c>
      <c r="B444" t="s">
        <v>15</v>
      </c>
      <c r="C444" t="s">
        <v>23</v>
      </c>
      <c r="D444">
        <v>85.95</v>
      </c>
      <c r="E444" t="s">
        <v>5</v>
      </c>
      <c r="F444">
        <v>8.93</v>
      </c>
      <c r="G444" t="s">
        <v>26</v>
      </c>
      <c r="H444" t="str">
        <f t="shared" si="40"/>
        <v>Passed</v>
      </c>
      <c r="I444" t="str">
        <f>IF(AND(Sheet1[[#This Row],[Attendance ]]&gt;65,Sheet1[[#This Row],[Attendance ]]&lt;75),"Yes","No")</f>
        <v>No</v>
      </c>
      <c r="J444" t="str">
        <f>IF(Sheet1[[#This Row],[Attendance ]]&lt;65,"Yes","No")</f>
        <v>No</v>
      </c>
    </row>
    <row r="445" spans="1:12" x14ac:dyDescent="0.35">
      <c r="A445" t="s">
        <v>486</v>
      </c>
      <c r="B445" t="s">
        <v>98</v>
      </c>
      <c r="C445" t="s">
        <v>20</v>
      </c>
      <c r="D445">
        <v>68.260000000000005</v>
      </c>
      <c r="E445" t="s">
        <v>5</v>
      </c>
      <c r="F445">
        <v>6.47</v>
      </c>
      <c r="G445" t="s">
        <v>28</v>
      </c>
      <c r="H445" t="str">
        <f t="shared" si="40"/>
        <v>Passed</v>
      </c>
      <c r="I445" t="str">
        <f>IF(AND(Sheet1[[#This Row],[Attendance ]]&gt;65,Sheet1[[#This Row],[Attendance ]]&lt;75),"Yes","No")</f>
        <v>Yes</v>
      </c>
      <c r="J445" t="str">
        <f>IF(Sheet1[[#This Row],[Attendance ]]&lt;65,"Yes","No")</f>
        <v>No</v>
      </c>
      <c r="K445" t="str">
        <f>CHOOSE(MOD(ROW()-2,8)+1,
"Kadapa",
"Ananthapur",
"Rayachoti",
"Nellore",
"Chittoor",
"Madanapalli",
"Rajampeta",
"Tirupati")</f>
        <v>Nellore</v>
      </c>
      <c r="L445" t="str">
        <f>IF(AND(G443="4th Year",E443="Pass",F443&gt;=7),"Yes","No")</f>
        <v>Yes</v>
      </c>
    </row>
    <row r="446" spans="1:12" hidden="1" x14ac:dyDescent="0.35">
      <c r="A446" t="s">
        <v>487</v>
      </c>
      <c r="B446" t="s">
        <v>51</v>
      </c>
      <c r="C446" t="s">
        <v>20</v>
      </c>
      <c r="D446">
        <v>75.44</v>
      </c>
      <c r="E446" t="s">
        <v>5</v>
      </c>
      <c r="F446">
        <v>9.58</v>
      </c>
      <c r="G446" t="s">
        <v>26</v>
      </c>
      <c r="H446" t="str">
        <f t="shared" si="40"/>
        <v>Passed</v>
      </c>
      <c r="I446" t="str">
        <f>IF(AND(Sheet1[[#This Row],[Attendance ]]&gt;65,Sheet1[[#This Row],[Attendance ]]&lt;75),"Yes","No")</f>
        <v>No</v>
      </c>
      <c r="J446" t="str">
        <f>IF(Sheet1[[#This Row],[Attendance ]]&lt;65,"Yes","No")</f>
        <v>No</v>
      </c>
    </row>
    <row r="447" spans="1:12" x14ac:dyDescent="0.35">
      <c r="A447" t="s">
        <v>488</v>
      </c>
      <c r="B447" t="s">
        <v>61</v>
      </c>
      <c r="C447" t="s">
        <v>9</v>
      </c>
      <c r="D447">
        <v>65.12</v>
      </c>
      <c r="E447" t="s">
        <v>5</v>
      </c>
      <c r="F447">
        <v>7.68</v>
      </c>
      <c r="G447" t="s">
        <v>26</v>
      </c>
      <c r="H447" t="str">
        <f t="shared" si="40"/>
        <v>Passed</v>
      </c>
      <c r="I447" t="str">
        <f>IF(AND(Sheet1[[#This Row],[Attendance ]]&gt;65,Sheet1[[#This Row],[Attendance ]]&lt;75),"Yes","No")</f>
        <v>Yes</v>
      </c>
      <c r="J447" t="str">
        <f>IF(Sheet1[[#This Row],[Attendance ]]&lt;65,"Yes","No")</f>
        <v>No</v>
      </c>
      <c r="K447" t="str">
        <f>CHOOSE(MOD(ROW()-2,8)+1,
"Kadapa",
"Ananthapur",
"Rayachoti",
"Nellore",
"Chittoor",
"Madanapalli",
"Rajampeta",
"Tirupati")</f>
        <v>Madanapalli</v>
      </c>
      <c r="L447" t="str">
        <f>IF(AND(G445="4th Year",E445="Pass",F445&gt;=7),"Yes","No")</f>
        <v>No</v>
      </c>
    </row>
    <row r="448" spans="1:12" hidden="1" x14ac:dyDescent="0.35">
      <c r="A448" t="s">
        <v>489</v>
      </c>
      <c r="B448" t="s">
        <v>70</v>
      </c>
      <c r="C448" t="s">
        <v>4</v>
      </c>
      <c r="D448">
        <v>85.88</v>
      </c>
      <c r="E448" t="s">
        <v>5</v>
      </c>
      <c r="F448">
        <v>8.33</v>
      </c>
      <c r="G448" t="s">
        <v>26</v>
      </c>
      <c r="H448" t="str">
        <f t="shared" si="40"/>
        <v>Passed</v>
      </c>
      <c r="I448" t="str">
        <f>IF(AND(Sheet1[[#This Row],[Attendance ]]&gt;65,Sheet1[[#This Row],[Attendance ]]&lt;75),"Yes","No")</f>
        <v>No</v>
      </c>
      <c r="J448" t="str">
        <f>IF(Sheet1[[#This Row],[Attendance ]]&lt;65,"Yes","No")</f>
        <v>No</v>
      </c>
    </row>
    <row r="449" spans="1:12" x14ac:dyDescent="0.35">
      <c r="A449" t="s">
        <v>490</v>
      </c>
      <c r="B449" t="s">
        <v>58</v>
      </c>
      <c r="C449" t="s">
        <v>20</v>
      </c>
      <c r="D449">
        <v>71.900000000000006</v>
      </c>
      <c r="E449" t="s">
        <v>5</v>
      </c>
      <c r="F449">
        <v>6.76</v>
      </c>
      <c r="G449" t="s">
        <v>11</v>
      </c>
      <c r="H449" t="str">
        <f t="shared" si="40"/>
        <v>Passed</v>
      </c>
      <c r="I449" t="str">
        <f>IF(AND(Sheet1[[#This Row],[Attendance ]]&gt;65,Sheet1[[#This Row],[Attendance ]]&lt;75),"Yes","No")</f>
        <v>Yes</v>
      </c>
      <c r="J449" t="str">
        <f>IF(Sheet1[[#This Row],[Attendance ]]&lt;65,"Yes","No")</f>
        <v>No</v>
      </c>
      <c r="K449" t="str">
        <f>CHOOSE(MOD(ROW()-2,8)+1,
"Kadapa",
"Ananthapur",
"Rayachoti",
"Nellore",
"Chittoor",
"Madanapalli",
"Rajampeta",
"Tirupati")</f>
        <v>Tirupati</v>
      </c>
      <c r="L449" t="str">
        <f>IF(AND(G447="4th Year",E447="Pass",F447&gt;=7),"Yes","No")</f>
        <v>Yes</v>
      </c>
    </row>
    <row r="450" spans="1:12" hidden="1" x14ac:dyDescent="0.35">
      <c r="A450" t="s">
        <v>491</v>
      </c>
      <c r="B450" t="s">
        <v>58</v>
      </c>
      <c r="C450" t="s">
        <v>23</v>
      </c>
      <c r="D450">
        <v>82.42</v>
      </c>
      <c r="E450" t="s">
        <v>10</v>
      </c>
      <c r="F450">
        <v>8.0500000000000007</v>
      </c>
      <c r="G450" t="s">
        <v>6</v>
      </c>
      <c r="H450" t="str">
        <f t="shared" ref="H450:H513" si="45">IF(E450="Pass","Passed",
IF(G450="1st Year","M1",
IF(G450="2nd Year","DBMS",
IF(G450="3rd Year","Machine Learning",
IF(G450="4th Year","Deep Learning","")))))</f>
        <v>DBMS</v>
      </c>
      <c r="I450" t="str">
        <f>IF(AND(Sheet1[[#This Row],[Attendance ]]&gt;65,Sheet1[[#This Row],[Attendance ]]&lt;75),"Yes","No")</f>
        <v>No</v>
      </c>
      <c r="J450" t="str">
        <f>IF(Sheet1[[#This Row],[Attendance ]]&lt;65,"Yes","No")</f>
        <v>No</v>
      </c>
    </row>
    <row r="451" spans="1:12" hidden="1" x14ac:dyDescent="0.35">
      <c r="A451" t="s">
        <v>492</v>
      </c>
      <c r="B451" t="s">
        <v>51</v>
      </c>
      <c r="C451" t="s">
        <v>20</v>
      </c>
      <c r="D451">
        <v>94.73</v>
      </c>
      <c r="E451" t="s">
        <v>5</v>
      </c>
      <c r="F451">
        <v>9.02</v>
      </c>
      <c r="G451" t="s">
        <v>28</v>
      </c>
      <c r="H451" t="str">
        <f t="shared" si="45"/>
        <v>Passed</v>
      </c>
      <c r="I451" t="str">
        <f>IF(AND(Sheet1[[#This Row],[Attendance ]]&gt;65,Sheet1[[#This Row],[Attendance ]]&lt;75),"Yes","No")</f>
        <v>No</v>
      </c>
      <c r="J451" t="str">
        <f>IF(Sheet1[[#This Row],[Attendance ]]&lt;65,"Yes","No")</f>
        <v>No</v>
      </c>
    </row>
    <row r="452" spans="1:12" hidden="1" x14ac:dyDescent="0.35">
      <c r="A452" t="s">
        <v>493</v>
      </c>
      <c r="B452" t="s">
        <v>51</v>
      </c>
      <c r="C452" t="s">
        <v>20</v>
      </c>
      <c r="D452">
        <v>79.08</v>
      </c>
      <c r="E452" t="s">
        <v>5</v>
      </c>
      <c r="F452">
        <v>8.16</v>
      </c>
      <c r="G452" t="s">
        <v>26</v>
      </c>
      <c r="H452" t="str">
        <f t="shared" si="45"/>
        <v>Passed</v>
      </c>
      <c r="I452" t="str">
        <f>IF(AND(Sheet1[[#This Row],[Attendance ]]&gt;65,Sheet1[[#This Row],[Attendance ]]&lt;75),"Yes","No")</f>
        <v>No</v>
      </c>
      <c r="J452" t="str">
        <f>IF(Sheet1[[#This Row],[Attendance ]]&lt;65,"Yes","No")</f>
        <v>No</v>
      </c>
    </row>
    <row r="453" spans="1:12" hidden="1" x14ac:dyDescent="0.35">
      <c r="A453" t="s">
        <v>494</v>
      </c>
      <c r="B453" t="s">
        <v>22</v>
      </c>
      <c r="C453" t="s">
        <v>20</v>
      </c>
      <c r="D453">
        <v>91.55</v>
      </c>
      <c r="E453" t="s">
        <v>5</v>
      </c>
      <c r="F453">
        <v>8.36</v>
      </c>
      <c r="G453" t="s">
        <v>11</v>
      </c>
      <c r="H453" t="str">
        <f t="shared" si="45"/>
        <v>Passed</v>
      </c>
      <c r="I453" t="str">
        <f>IF(AND(Sheet1[[#This Row],[Attendance ]]&gt;65,Sheet1[[#This Row],[Attendance ]]&lt;75),"Yes","No")</f>
        <v>No</v>
      </c>
      <c r="J453" t="str">
        <f>IF(Sheet1[[#This Row],[Attendance ]]&lt;65,"Yes","No")</f>
        <v>No</v>
      </c>
    </row>
    <row r="454" spans="1:12" hidden="1" x14ac:dyDescent="0.35">
      <c r="A454" t="s">
        <v>495</v>
      </c>
      <c r="B454" t="s">
        <v>88</v>
      </c>
      <c r="C454" t="s">
        <v>4</v>
      </c>
      <c r="D454">
        <v>60.01</v>
      </c>
      <c r="E454" t="s">
        <v>5</v>
      </c>
      <c r="F454">
        <v>6.54</v>
      </c>
      <c r="G454" t="s">
        <v>28</v>
      </c>
      <c r="H454" t="str">
        <f t="shared" si="45"/>
        <v>Passed</v>
      </c>
      <c r="I454" t="str">
        <f>IF(AND(Sheet1[[#This Row],[Attendance ]]&gt;65,Sheet1[[#This Row],[Attendance ]]&lt;75),"Yes","No")</f>
        <v>No</v>
      </c>
      <c r="J454" t="str">
        <f>IF(Sheet1[[#This Row],[Attendance ]]&lt;65,"Yes","No")</f>
        <v>Yes</v>
      </c>
    </row>
    <row r="455" spans="1:12" hidden="1" x14ac:dyDescent="0.35">
      <c r="A455" t="s">
        <v>496</v>
      </c>
      <c r="B455" t="s">
        <v>34</v>
      </c>
      <c r="C455" t="s">
        <v>23</v>
      </c>
      <c r="D455">
        <v>89.98</v>
      </c>
      <c r="E455" t="s">
        <v>5</v>
      </c>
      <c r="F455">
        <v>8.1300000000000008</v>
      </c>
      <c r="G455" t="s">
        <v>26</v>
      </c>
      <c r="H455" t="str">
        <f t="shared" si="45"/>
        <v>Passed</v>
      </c>
      <c r="I455" t="str">
        <f>IF(AND(Sheet1[[#This Row],[Attendance ]]&gt;65,Sheet1[[#This Row],[Attendance ]]&lt;75),"Yes","No")</f>
        <v>No</v>
      </c>
      <c r="J455" t="str">
        <f>IF(Sheet1[[#This Row],[Attendance ]]&lt;65,"Yes","No")</f>
        <v>No</v>
      </c>
    </row>
    <row r="456" spans="1:12" hidden="1" x14ac:dyDescent="0.35">
      <c r="A456" t="s">
        <v>497</v>
      </c>
      <c r="B456" t="s">
        <v>32</v>
      </c>
      <c r="C456" t="s">
        <v>20</v>
      </c>
      <c r="D456">
        <v>81.87</v>
      </c>
      <c r="E456" t="s">
        <v>5</v>
      </c>
      <c r="F456">
        <v>6.35</v>
      </c>
      <c r="G456" t="s">
        <v>11</v>
      </c>
      <c r="H456" t="str">
        <f t="shared" si="45"/>
        <v>Passed</v>
      </c>
      <c r="I456" t="str">
        <f>IF(AND(Sheet1[[#This Row],[Attendance ]]&gt;65,Sheet1[[#This Row],[Attendance ]]&lt;75),"Yes","No")</f>
        <v>No</v>
      </c>
      <c r="J456" t="str">
        <f>IF(Sheet1[[#This Row],[Attendance ]]&lt;65,"Yes","No")</f>
        <v>No</v>
      </c>
    </row>
    <row r="457" spans="1:12" hidden="1" x14ac:dyDescent="0.35">
      <c r="A457" t="s">
        <v>498</v>
      </c>
      <c r="B457" t="s">
        <v>72</v>
      </c>
      <c r="C457" t="s">
        <v>35</v>
      </c>
      <c r="D457">
        <v>65</v>
      </c>
      <c r="E457" t="s">
        <v>5</v>
      </c>
      <c r="F457">
        <v>6.93</v>
      </c>
      <c r="G457" t="s">
        <v>28</v>
      </c>
      <c r="H457" t="str">
        <f t="shared" si="45"/>
        <v>Passed</v>
      </c>
      <c r="I457" t="str">
        <f>IF(AND(Sheet1[[#This Row],[Attendance ]]&gt;65,Sheet1[[#This Row],[Attendance ]]&lt;75),"Yes","No")</f>
        <v>No</v>
      </c>
      <c r="J457" t="str">
        <f>IF(Sheet1[[#This Row],[Attendance ]]&lt;65,"Yes","No")</f>
        <v>No</v>
      </c>
    </row>
    <row r="458" spans="1:12" x14ac:dyDescent="0.35">
      <c r="A458" t="s">
        <v>499</v>
      </c>
      <c r="B458" t="s">
        <v>8</v>
      </c>
      <c r="C458" t="s">
        <v>20</v>
      </c>
      <c r="D458">
        <v>72.37</v>
      </c>
      <c r="E458" t="s">
        <v>5</v>
      </c>
      <c r="F458">
        <v>6.16</v>
      </c>
      <c r="G458" t="s">
        <v>11</v>
      </c>
      <c r="H458" t="str">
        <f t="shared" si="45"/>
        <v>Passed</v>
      </c>
      <c r="I458" t="str">
        <f>IF(AND(Sheet1[[#This Row],[Attendance ]]&gt;65,Sheet1[[#This Row],[Attendance ]]&lt;75),"Yes","No")</f>
        <v>Yes</v>
      </c>
      <c r="J458" t="str">
        <f>IF(Sheet1[[#This Row],[Attendance ]]&lt;65,"Yes","No")</f>
        <v>No</v>
      </c>
      <c r="K458" t="str">
        <f>CHOOSE(MOD(ROW()-2,8)+1,
"Kadapa",
"Ananthapur",
"Rayachoti",
"Nellore",
"Chittoor",
"Madanapalli",
"Rajampeta",
"Tirupati")</f>
        <v>Kadapa</v>
      </c>
      <c r="L458" t="str">
        <f>IF(AND(G456="4th Year",E456="Pass",F456&gt;=7),"Yes","No")</f>
        <v>No</v>
      </c>
    </row>
    <row r="459" spans="1:12" hidden="1" x14ac:dyDescent="0.35">
      <c r="A459" t="s">
        <v>500</v>
      </c>
      <c r="B459" t="s">
        <v>88</v>
      </c>
      <c r="C459" t="s">
        <v>23</v>
      </c>
      <c r="D459">
        <v>60.1</v>
      </c>
      <c r="E459" t="s">
        <v>5</v>
      </c>
      <c r="F459">
        <v>8.6999999999999993</v>
      </c>
      <c r="G459" t="s">
        <v>26</v>
      </c>
      <c r="H459" t="str">
        <f t="shared" si="45"/>
        <v>Passed</v>
      </c>
      <c r="I459" t="str">
        <f>IF(AND(Sheet1[[#This Row],[Attendance ]]&gt;65,Sheet1[[#This Row],[Attendance ]]&lt;75),"Yes","No")</f>
        <v>No</v>
      </c>
      <c r="J459" t="str">
        <f>IF(Sheet1[[#This Row],[Attendance ]]&lt;65,"Yes","No")</f>
        <v>Yes</v>
      </c>
    </row>
    <row r="460" spans="1:12" hidden="1" x14ac:dyDescent="0.35">
      <c r="A460" t="s">
        <v>501</v>
      </c>
      <c r="B460" t="s">
        <v>116</v>
      </c>
      <c r="C460" t="s">
        <v>35</v>
      </c>
      <c r="D460">
        <v>86.82</v>
      </c>
      <c r="E460" t="s">
        <v>5</v>
      </c>
      <c r="F460">
        <v>7.89</v>
      </c>
      <c r="G460" t="s">
        <v>11</v>
      </c>
      <c r="H460" t="str">
        <f t="shared" si="45"/>
        <v>Passed</v>
      </c>
      <c r="I460" t="str">
        <f>IF(AND(Sheet1[[#This Row],[Attendance ]]&gt;65,Sheet1[[#This Row],[Attendance ]]&lt;75),"Yes","No")</f>
        <v>No</v>
      </c>
      <c r="J460" t="str">
        <f>IF(Sheet1[[#This Row],[Attendance ]]&lt;65,"Yes","No")</f>
        <v>No</v>
      </c>
    </row>
    <row r="461" spans="1:12" hidden="1" x14ac:dyDescent="0.35">
      <c r="A461" t="s">
        <v>502</v>
      </c>
      <c r="B461" t="s">
        <v>12</v>
      </c>
      <c r="C461" t="s">
        <v>9</v>
      </c>
      <c r="D461">
        <v>82.06</v>
      </c>
      <c r="E461" t="s">
        <v>5</v>
      </c>
      <c r="F461">
        <v>7.54</v>
      </c>
      <c r="G461" t="s">
        <v>28</v>
      </c>
      <c r="H461" t="str">
        <f t="shared" si="45"/>
        <v>Passed</v>
      </c>
      <c r="I461" t="str">
        <f>IF(AND(Sheet1[[#This Row],[Attendance ]]&gt;65,Sheet1[[#This Row],[Attendance ]]&lt;75),"Yes","No")</f>
        <v>No</v>
      </c>
      <c r="J461" t="str">
        <f>IF(Sheet1[[#This Row],[Attendance ]]&lt;65,"Yes","No")</f>
        <v>No</v>
      </c>
    </row>
    <row r="462" spans="1:12" x14ac:dyDescent="0.35">
      <c r="A462" t="s">
        <v>503</v>
      </c>
      <c r="B462" t="s">
        <v>12</v>
      </c>
      <c r="C462" t="s">
        <v>9</v>
      </c>
      <c r="D462">
        <v>73.260000000000005</v>
      </c>
      <c r="E462" t="s">
        <v>5</v>
      </c>
      <c r="F462">
        <v>5.38</v>
      </c>
      <c r="G462" t="s">
        <v>28</v>
      </c>
      <c r="H462" t="str">
        <f t="shared" si="45"/>
        <v>Passed</v>
      </c>
      <c r="I462" t="str">
        <f>IF(AND(Sheet1[[#This Row],[Attendance ]]&gt;65,Sheet1[[#This Row],[Attendance ]]&lt;75),"Yes","No")</f>
        <v>Yes</v>
      </c>
      <c r="J462" t="str">
        <f>IF(Sheet1[[#This Row],[Attendance ]]&lt;65,"Yes","No")</f>
        <v>No</v>
      </c>
      <c r="K462" t="str">
        <f>CHOOSE(MOD(ROW()-2,8)+1,
"Kadapa",
"Ananthapur",
"Rayachoti",
"Nellore",
"Chittoor",
"Madanapalli",
"Rajampeta",
"Tirupati")</f>
        <v>Chittoor</v>
      </c>
      <c r="L462" t="str">
        <f>IF(AND(G460="4th Year",E460="Pass",F460&gt;=7),"Yes","No")</f>
        <v>No</v>
      </c>
    </row>
    <row r="463" spans="1:12" hidden="1" x14ac:dyDescent="0.35">
      <c r="A463" t="s">
        <v>504</v>
      </c>
      <c r="B463" t="s">
        <v>30</v>
      </c>
      <c r="C463" t="s">
        <v>20</v>
      </c>
      <c r="D463">
        <v>85.01</v>
      </c>
      <c r="E463" t="s">
        <v>5</v>
      </c>
      <c r="F463">
        <v>6.33</v>
      </c>
      <c r="G463" t="s">
        <v>26</v>
      </c>
      <c r="H463" t="str">
        <f t="shared" si="45"/>
        <v>Passed</v>
      </c>
      <c r="I463" t="str">
        <f>IF(AND(Sheet1[[#This Row],[Attendance ]]&gt;65,Sheet1[[#This Row],[Attendance ]]&lt;75),"Yes","No")</f>
        <v>No</v>
      </c>
      <c r="J463" t="str">
        <f>IF(Sheet1[[#This Row],[Attendance ]]&lt;65,"Yes","No")</f>
        <v>No</v>
      </c>
    </row>
    <row r="464" spans="1:12" hidden="1" x14ac:dyDescent="0.35">
      <c r="A464" t="s">
        <v>505</v>
      </c>
      <c r="B464" t="s">
        <v>3</v>
      </c>
      <c r="C464" t="s">
        <v>20</v>
      </c>
      <c r="D464">
        <v>77.13</v>
      </c>
      <c r="E464" t="s">
        <v>5</v>
      </c>
      <c r="F464">
        <v>7.55</v>
      </c>
      <c r="G464" t="s">
        <v>11</v>
      </c>
      <c r="H464" t="str">
        <f t="shared" si="45"/>
        <v>Passed</v>
      </c>
      <c r="I464" t="str">
        <f>IF(AND(Sheet1[[#This Row],[Attendance ]]&gt;65,Sheet1[[#This Row],[Attendance ]]&lt;75),"Yes","No")</f>
        <v>No</v>
      </c>
      <c r="J464" t="str">
        <f>IF(Sheet1[[#This Row],[Attendance ]]&lt;65,"Yes","No")</f>
        <v>No</v>
      </c>
    </row>
    <row r="465" spans="1:12" hidden="1" x14ac:dyDescent="0.35">
      <c r="A465" t="s">
        <v>506</v>
      </c>
      <c r="B465" t="s">
        <v>32</v>
      </c>
      <c r="C465" t="s">
        <v>4</v>
      </c>
      <c r="D465">
        <v>76.59</v>
      </c>
      <c r="E465" t="s">
        <v>5</v>
      </c>
      <c r="F465">
        <v>5.0599999999999996</v>
      </c>
      <c r="G465" t="s">
        <v>6</v>
      </c>
      <c r="H465" t="str">
        <f t="shared" si="45"/>
        <v>Passed</v>
      </c>
      <c r="I465" t="str">
        <f>IF(AND(Sheet1[[#This Row],[Attendance ]]&gt;65,Sheet1[[#This Row],[Attendance ]]&lt;75),"Yes","No")</f>
        <v>No</v>
      </c>
      <c r="J465" t="str">
        <f>IF(Sheet1[[#This Row],[Attendance ]]&lt;65,"Yes","No")</f>
        <v>No</v>
      </c>
    </row>
    <row r="466" spans="1:12" hidden="1" x14ac:dyDescent="0.35">
      <c r="A466" t="s">
        <v>507</v>
      </c>
      <c r="B466" t="s">
        <v>63</v>
      </c>
      <c r="C466" t="s">
        <v>23</v>
      </c>
      <c r="D466">
        <v>88.28</v>
      </c>
      <c r="E466" t="s">
        <v>5</v>
      </c>
      <c r="F466">
        <v>5.93</v>
      </c>
      <c r="G466" t="s">
        <v>26</v>
      </c>
      <c r="H466" t="str">
        <f t="shared" si="45"/>
        <v>Passed</v>
      </c>
      <c r="I466" t="str">
        <f>IF(AND(Sheet1[[#This Row],[Attendance ]]&gt;65,Sheet1[[#This Row],[Attendance ]]&lt;75),"Yes","No")</f>
        <v>No</v>
      </c>
      <c r="J466" t="str">
        <f>IF(Sheet1[[#This Row],[Attendance ]]&lt;65,"Yes","No")</f>
        <v>No</v>
      </c>
    </row>
    <row r="467" spans="1:12" x14ac:dyDescent="0.35">
      <c r="A467" t="s">
        <v>508</v>
      </c>
      <c r="B467" t="s">
        <v>34</v>
      </c>
      <c r="C467" t="s">
        <v>23</v>
      </c>
      <c r="D467">
        <v>65.010000000000005</v>
      </c>
      <c r="E467" t="s">
        <v>5</v>
      </c>
      <c r="F467">
        <v>8.49</v>
      </c>
      <c r="G467" t="s">
        <v>28</v>
      </c>
      <c r="H467" t="str">
        <f t="shared" si="45"/>
        <v>Passed</v>
      </c>
      <c r="I467" t="str">
        <f>IF(AND(Sheet1[[#This Row],[Attendance ]]&gt;65,Sheet1[[#This Row],[Attendance ]]&lt;75),"Yes","No")</f>
        <v>Yes</v>
      </c>
      <c r="J467" t="str">
        <f>IF(Sheet1[[#This Row],[Attendance ]]&lt;65,"Yes","No")</f>
        <v>No</v>
      </c>
      <c r="K467" t="str">
        <f t="shared" ref="K467:K468" si="46">CHOOSE(MOD(ROW()-2,8)+1,
"Kadapa",
"Ananthapur",
"Rayachoti",
"Nellore",
"Chittoor",
"Madanapalli",
"Rajampeta",
"Tirupati")</f>
        <v>Ananthapur</v>
      </c>
      <c r="L467" t="str">
        <f t="shared" ref="L467:L468" si="47">IF(AND(G465="4th Year",E465="Pass",F465&gt;=7),"Yes","No")</f>
        <v>No</v>
      </c>
    </row>
    <row r="468" spans="1:12" x14ac:dyDescent="0.35">
      <c r="A468" t="s">
        <v>509</v>
      </c>
      <c r="B468" t="s">
        <v>88</v>
      </c>
      <c r="C468" t="s">
        <v>4</v>
      </c>
      <c r="D468">
        <v>69.22</v>
      </c>
      <c r="E468" t="s">
        <v>5</v>
      </c>
      <c r="F468">
        <v>5.96</v>
      </c>
      <c r="G468" t="s">
        <v>6</v>
      </c>
      <c r="H468" t="str">
        <f t="shared" si="45"/>
        <v>Passed</v>
      </c>
      <c r="I468" t="str">
        <f>IF(AND(Sheet1[[#This Row],[Attendance ]]&gt;65,Sheet1[[#This Row],[Attendance ]]&lt;75),"Yes","No")</f>
        <v>Yes</v>
      </c>
      <c r="J468" t="str">
        <f>IF(Sheet1[[#This Row],[Attendance ]]&lt;65,"Yes","No")</f>
        <v>No</v>
      </c>
      <c r="K468" t="str">
        <f t="shared" si="46"/>
        <v>Rayachoti</v>
      </c>
      <c r="L468" t="str">
        <f t="shared" si="47"/>
        <v>No</v>
      </c>
    </row>
    <row r="469" spans="1:12" hidden="1" x14ac:dyDescent="0.35">
      <c r="A469" t="s">
        <v>510</v>
      </c>
      <c r="B469" t="s">
        <v>70</v>
      </c>
      <c r="C469" t="s">
        <v>9</v>
      </c>
      <c r="D469">
        <v>87.88</v>
      </c>
      <c r="E469" t="s">
        <v>5</v>
      </c>
      <c r="F469">
        <v>6.84</v>
      </c>
      <c r="G469" t="s">
        <v>26</v>
      </c>
      <c r="H469" t="str">
        <f t="shared" si="45"/>
        <v>Passed</v>
      </c>
      <c r="I469" t="str">
        <f>IF(AND(Sheet1[[#This Row],[Attendance ]]&gt;65,Sheet1[[#This Row],[Attendance ]]&lt;75),"Yes","No")</f>
        <v>No</v>
      </c>
      <c r="J469" t="str">
        <f>IF(Sheet1[[#This Row],[Attendance ]]&lt;65,"Yes","No")</f>
        <v>No</v>
      </c>
    </row>
    <row r="470" spans="1:12" hidden="1" x14ac:dyDescent="0.35">
      <c r="A470" t="s">
        <v>511</v>
      </c>
      <c r="B470" t="s">
        <v>51</v>
      </c>
      <c r="C470" t="s">
        <v>23</v>
      </c>
      <c r="D470">
        <v>96.53</v>
      </c>
      <c r="E470" t="s">
        <v>5</v>
      </c>
      <c r="F470">
        <v>6.75</v>
      </c>
      <c r="G470" t="s">
        <v>28</v>
      </c>
      <c r="H470" t="str">
        <f t="shared" si="45"/>
        <v>Passed</v>
      </c>
      <c r="I470" t="str">
        <f>IF(AND(Sheet1[[#This Row],[Attendance ]]&gt;65,Sheet1[[#This Row],[Attendance ]]&lt;75),"Yes","No")</f>
        <v>No</v>
      </c>
      <c r="J470" t="str">
        <f>IF(Sheet1[[#This Row],[Attendance ]]&lt;65,"Yes","No")</f>
        <v>No</v>
      </c>
    </row>
    <row r="471" spans="1:12" hidden="1" x14ac:dyDescent="0.35">
      <c r="A471" t="s">
        <v>512</v>
      </c>
      <c r="B471" t="s">
        <v>30</v>
      </c>
      <c r="C471" t="s">
        <v>13</v>
      </c>
      <c r="D471">
        <v>77.52</v>
      </c>
      <c r="E471" t="s">
        <v>5</v>
      </c>
      <c r="F471">
        <v>5.81</v>
      </c>
      <c r="G471" t="s">
        <v>26</v>
      </c>
      <c r="H471" t="str">
        <f t="shared" si="45"/>
        <v>Passed</v>
      </c>
      <c r="I471" t="str">
        <f>IF(AND(Sheet1[[#This Row],[Attendance ]]&gt;65,Sheet1[[#This Row],[Attendance ]]&lt;75),"Yes","No")</f>
        <v>No</v>
      </c>
      <c r="J471" t="str">
        <f>IF(Sheet1[[#This Row],[Attendance ]]&lt;65,"Yes","No")</f>
        <v>No</v>
      </c>
    </row>
    <row r="472" spans="1:12" x14ac:dyDescent="0.35">
      <c r="A472" t="s">
        <v>513</v>
      </c>
      <c r="B472" t="s">
        <v>3</v>
      </c>
      <c r="C472" t="s">
        <v>9</v>
      </c>
      <c r="D472">
        <v>70.709999999999994</v>
      </c>
      <c r="E472" t="s">
        <v>5</v>
      </c>
      <c r="F472">
        <v>8.83</v>
      </c>
      <c r="G472" t="s">
        <v>6</v>
      </c>
      <c r="H472" t="str">
        <f t="shared" si="45"/>
        <v>Passed</v>
      </c>
      <c r="I472" t="str">
        <f>IF(AND(Sheet1[[#This Row],[Attendance ]]&gt;65,Sheet1[[#This Row],[Attendance ]]&lt;75),"Yes","No")</f>
        <v>Yes</v>
      </c>
      <c r="J472" t="str">
        <f>IF(Sheet1[[#This Row],[Attendance ]]&lt;65,"Yes","No")</f>
        <v>No</v>
      </c>
      <c r="K472" t="str">
        <f t="shared" ref="K472:K473" si="48">CHOOSE(MOD(ROW()-2,8)+1,
"Kadapa",
"Ananthapur",
"Rayachoti",
"Nellore",
"Chittoor",
"Madanapalli",
"Rajampeta",
"Tirupati")</f>
        <v>Rajampeta</v>
      </c>
      <c r="L472" t="str">
        <f t="shared" ref="L472:L473" si="49">IF(AND(G470="4th Year",E470="Pass",F470&gt;=7),"Yes","No")</f>
        <v>No</v>
      </c>
    </row>
    <row r="473" spans="1:12" x14ac:dyDescent="0.35">
      <c r="A473" t="s">
        <v>514</v>
      </c>
      <c r="B473" t="s">
        <v>88</v>
      </c>
      <c r="C473" t="s">
        <v>20</v>
      </c>
      <c r="D473">
        <v>65.069999999999993</v>
      </c>
      <c r="E473" t="s">
        <v>5</v>
      </c>
      <c r="F473">
        <v>5.09</v>
      </c>
      <c r="G473" t="s">
        <v>26</v>
      </c>
      <c r="H473" t="str">
        <f t="shared" si="45"/>
        <v>Passed</v>
      </c>
      <c r="I473" t="str">
        <f>IF(AND(Sheet1[[#This Row],[Attendance ]]&gt;65,Sheet1[[#This Row],[Attendance ]]&lt;75),"Yes","No")</f>
        <v>Yes</v>
      </c>
      <c r="J473" t="str">
        <f>IF(Sheet1[[#This Row],[Attendance ]]&lt;65,"Yes","No")</f>
        <v>No</v>
      </c>
      <c r="K473" t="str">
        <f t="shared" si="48"/>
        <v>Tirupati</v>
      </c>
      <c r="L473" t="str">
        <f t="shared" si="49"/>
        <v>No</v>
      </c>
    </row>
    <row r="474" spans="1:12" hidden="1" x14ac:dyDescent="0.35">
      <c r="A474" t="s">
        <v>515</v>
      </c>
      <c r="B474" t="s">
        <v>107</v>
      </c>
      <c r="C474" t="s">
        <v>13</v>
      </c>
      <c r="D474">
        <v>91.52</v>
      </c>
      <c r="E474" t="s">
        <v>5</v>
      </c>
      <c r="F474">
        <v>7.51</v>
      </c>
      <c r="G474" t="s">
        <v>6</v>
      </c>
      <c r="H474" t="str">
        <f t="shared" si="45"/>
        <v>Passed</v>
      </c>
      <c r="I474" t="str">
        <f>IF(AND(Sheet1[[#This Row],[Attendance ]]&gt;65,Sheet1[[#This Row],[Attendance ]]&lt;75),"Yes","No")</f>
        <v>No</v>
      </c>
      <c r="J474" t="str">
        <f>IF(Sheet1[[#This Row],[Attendance ]]&lt;65,"Yes","No")</f>
        <v>No</v>
      </c>
    </row>
    <row r="475" spans="1:12" hidden="1" x14ac:dyDescent="0.35">
      <c r="A475" t="s">
        <v>516</v>
      </c>
      <c r="B475" t="s">
        <v>77</v>
      </c>
      <c r="C475" t="s">
        <v>35</v>
      </c>
      <c r="D475">
        <v>90.32</v>
      </c>
      <c r="E475" t="s">
        <v>5</v>
      </c>
      <c r="F475">
        <v>9.33</v>
      </c>
      <c r="G475" t="s">
        <v>28</v>
      </c>
      <c r="H475" t="str">
        <f t="shared" si="45"/>
        <v>Passed</v>
      </c>
      <c r="I475" t="str">
        <f>IF(AND(Sheet1[[#This Row],[Attendance ]]&gt;65,Sheet1[[#This Row],[Attendance ]]&lt;75),"Yes","No")</f>
        <v>No</v>
      </c>
      <c r="J475" t="str">
        <f>IF(Sheet1[[#This Row],[Attendance ]]&lt;65,"Yes","No")</f>
        <v>No</v>
      </c>
    </row>
    <row r="476" spans="1:12" x14ac:dyDescent="0.35">
      <c r="A476" t="s">
        <v>517</v>
      </c>
      <c r="B476" t="s">
        <v>61</v>
      </c>
      <c r="C476" t="s">
        <v>4</v>
      </c>
      <c r="D476">
        <v>69.64</v>
      </c>
      <c r="E476" t="s">
        <v>5</v>
      </c>
      <c r="F476">
        <v>5.55</v>
      </c>
      <c r="G476" t="s">
        <v>26</v>
      </c>
      <c r="H476" t="str">
        <f t="shared" si="45"/>
        <v>Passed</v>
      </c>
      <c r="I476" t="str">
        <f>IF(AND(Sheet1[[#This Row],[Attendance ]]&gt;65,Sheet1[[#This Row],[Attendance ]]&lt;75),"Yes","No")</f>
        <v>Yes</v>
      </c>
      <c r="J476" t="str">
        <f>IF(Sheet1[[#This Row],[Attendance ]]&lt;65,"Yes","No")</f>
        <v>No</v>
      </c>
      <c r="K476" t="str">
        <f>CHOOSE(MOD(ROW()-2,8)+1,
"Kadapa",
"Ananthapur",
"Rayachoti",
"Nellore",
"Chittoor",
"Madanapalli",
"Rajampeta",
"Tirupati")</f>
        <v>Rayachoti</v>
      </c>
      <c r="L476" t="str">
        <f>IF(AND(G474="4th Year",E474="Pass",F474&gt;=7),"Yes","No")</f>
        <v>No</v>
      </c>
    </row>
    <row r="477" spans="1:12" hidden="1" x14ac:dyDescent="0.35">
      <c r="A477" t="s">
        <v>518</v>
      </c>
      <c r="B477" t="s">
        <v>103</v>
      </c>
      <c r="C477" t="s">
        <v>20</v>
      </c>
      <c r="D477">
        <v>89.3</v>
      </c>
      <c r="E477" t="s">
        <v>10</v>
      </c>
      <c r="F477">
        <v>7.86</v>
      </c>
      <c r="G477" t="s">
        <v>26</v>
      </c>
      <c r="H477" t="str">
        <f t="shared" si="45"/>
        <v>Deep Learning</v>
      </c>
      <c r="I477" t="str">
        <f>IF(AND(Sheet1[[#This Row],[Attendance ]]&gt;65,Sheet1[[#This Row],[Attendance ]]&lt;75),"Yes","No")</f>
        <v>No</v>
      </c>
      <c r="J477" t="str">
        <f>IF(Sheet1[[#This Row],[Attendance ]]&lt;65,"Yes","No")</f>
        <v>No</v>
      </c>
    </row>
    <row r="478" spans="1:12" x14ac:dyDescent="0.35">
      <c r="A478" t="s">
        <v>519</v>
      </c>
      <c r="B478" t="s">
        <v>43</v>
      </c>
      <c r="C478" t="s">
        <v>20</v>
      </c>
      <c r="D478">
        <v>71.53</v>
      </c>
      <c r="E478" t="s">
        <v>5</v>
      </c>
      <c r="F478">
        <v>9.14</v>
      </c>
      <c r="G478" t="s">
        <v>11</v>
      </c>
      <c r="H478" t="str">
        <f t="shared" si="45"/>
        <v>Passed</v>
      </c>
      <c r="I478" t="str">
        <f>IF(AND(Sheet1[[#This Row],[Attendance ]]&gt;65,Sheet1[[#This Row],[Attendance ]]&lt;75),"Yes","No")</f>
        <v>Yes</v>
      </c>
      <c r="J478" t="str">
        <f>IF(Sheet1[[#This Row],[Attendance ]]&lt;65,"Yes","No")</f>
        <v>No</v>
      </c>
      <c r="K478" t="str">
        <f>CHOOSE(MOD(ROW()-2,8)+1,
"Kadapa",
"Ananthapur",
"Rayachoti",
"Nellore",
"Chittoor",
"Madanapalli",
"Rajampeta",
"Tirupati")</f>
        <v>Chittoor</v>
      </c>
      <c r="L478" t="str">
        <f>IF(AND(G476="4th Year",E476="Pass",F476&gt;=7),"Yes","No")</f>
        <v>No</v>
      </c>
    </row>
    <row r="479" spans="1:12" hidden="1" x14ac:dyDescent="0.35">
      <c r="A479" t="s">
        <v>520</v>
      </c>
      <c r="B479" t="s">
        <v>63</v>
      </c>
      <c r="C479" t="s">
        <v>35</v>
      </c>
      <c r="D479">
        <v>85.48</v>
      </c>
      <c r="E479" t="s">
        <v>5</v>
      </c>
      <c r="F479">
        <v>9.36</v>
      </c>
      <c r="G479" t="s">
        <v>6</v>
      </c>
      <c r="H479" t="str">
        <f t="shared" si="45"/>
        <v>Passed</v>
      </c>
      <c r="I479" t="str">
        <f>IF(AND(Sheet1[[#This Row],[Attendance ]]&gt;65,Sheet1[[#This Row],[Attendance ]]&lt;75),"Yes","No")</f>
        <v>No</v>
      </c>
      <c r="J479" t="str">
        <f>IF(Sheet1[[#This Row],[Attendance ]]&lt;65,"Yes","No")</f>
        <v>No</v>
      </c>
    </row>
    <row r="480" spans="1:12" hidden="1" x14ac:dyDescent="0.35">
      <c r="A480" t="s">
        <v>521</v>
      </c>
      <c r="B480" t="s">
        <v>43</v>
      </c>
      <c r="C480" t="s">
        <v>20</v>
      </c>
      <c r="D480">
        <v>96.92</v>
      </c>
      <c r="E480" t="s">
        <v>5</v>
      </c>
      <c r="F480">
        <v>6.92</v>
      </c>
      <c r="G480" t="s">
        <v>11</v>
      </c>
      <c r="H480" t="str">
        <f t="shared" si="45"/>
        <v>Passed</v>
      </c>
      <c r="I480" t="str">
        <f>IF(AND(Sheet1[[#This Row],[Attendance ]]&gt;65,Sheet1[[#This Row],[Attendance ]]&lt;75),"Yes","No")</f>
        <v>No</v>
      </c>
      <c r="J480" t="str">
        <f>IF(Sheet1[[#This Row],[Attendance ]]&lt;65,"Yes","No")</f>
        <v>No</v>
      </c>
    </row>
    <row r="481" spans="1:12" hidden="1" x14ac:dyDescent="0.35">
      <c r="A481" t="s">
        <v>522</v>
      </c>
      <c r="B481" t="s">
        <v>63</v>
      </c>
      <c r="C481" t="s">
        <v>20</v>
      </c>
      <c r="D481">
        <v>96.71</v>
      </c>
      <c r="E481" t="s">
        <v>5</v>
      </c>
      <c r="F481">
        <v>7.17</v>
      </c>
      <c r="G481" t="s">
        <v>26</v>
      </c>
      <c r="H481" t="str">
        <f t="shared" si="45"/>
        <v>Passed</v>
      </c>
      <c r="I481" t="str">
        <f>IF(AND(Sheet1[[#This Row],[Attendance ]]&gt;65,Sheet1[[#This Row],[Attendance ]]&lt;75),"Yes","No")</f>
        <v>No</v>
      </c>
      <c r="J481" t="str">
        <f>IF(Sheet1[[#This Row],[Attendance ]]&lt;65,"Yes","No")</f>
        <v>No</v>
      </c>
    </row>
    <row r="482" spans="1:12" x14ac:dyDescent="0.35">
      <c r="A482" t="s">
        <v>523</v>
      </c>
      <c r="B482" t="s">
        <v>77</v>
      </c>
      <c r="C482" t="s">
        <v>9</v>
      </c>
      <c r="D482">
        <v>70.97</v>
      </c>
      <c r="E482" t="s">
        <v>5</v>
      </c>
      <c r="F482">
        <v>7.66</v>
      </c>
      <c r="G482" t="s">
        <v>28</v>
      </c>
      <c r="H482" t="str">
        <f t="shared" si="45"/>
        <v>Passed</v>
      </c>
      <c r="I482" t="str">
        <f>IF(AND(Sheet1[[#This Row],[Attendance ]]&gt;65,Sheet1[[#This Row],[Attendance ]]&lt;75),"Yes","No")</f>
        <v>Yes</v>
      </c>
      <c r="J482" t="str">
        <f>IF(Sheet1[[#This Row],[Attendance ]]&lt;65,"Yes","No")</f>
        <v>No</v>
      </c>
      <c r="K482" t="str">
        <f>CHOOSE(MOD(ROW()-2,8)+1,
"Kadapa",
"Ananthapur",
"Rayachoti",
"Nellore",
"Chittoor",
"Madanapalli",
"Rajampeta",
"Tirupati")</f>
        <v>Kadapa</v>
      </c>
      <c r="L482" t="str">
        <f>IF(AND(G480="4th Year",E480="Pass",F480&gt;=7),"Yes","No")</f>
        <v>No</v>
      </c>
    </row>
    <row r="483" spans="1:12" hidden="1" x14ac:dyDescent="0.35">
      <c r="A483" t="s">
        <v>524</v>
      </c>
      <c r="B483" t="s">
        <v>15</v>
      </c>
      <c r="C483" t="s">
        <v>20</v>
      </c>
      <c r="D483">
        <v>62.37</v>
      </c>
      <c r="E483" t="s">
        <v>5</v>
      </c>
      <c r="F483">
        <v>6.42</v>
      </c>
      <c r="G483" t="s">
        <v>11</v>
      </c>
      <c r="H483" t="str">
        <f t="shared" si="45"/>
        <v>Passed</v>
      </c>
      <c r="I483" t="str">
        <f>IF(AND(Sheet1[[#This Row],[Attendance ]]&gt;65,Sheet1[[#This Row],[Attendance ]]&lt;75),"Yes","No")</f>
        <v>No</v>
      </c>
      <c r="J483" t="str">
        <f>IF(Sheet1[[#This Row],[Attendance ]]&lt;65,"Yes","No")</f>
        <v>Yes</v>
      </c>
    </row>
    <row r="484" spans="1:12" hidden="1" x14ac:dyDescent="0.35">
      <c r="A484" t="s">
        <v>525</v>
      </c>
      <c r="B484" t="s">
        <v>37</v>
      </c>
      <c r="C484" t="s">
        <v>23</v>
      </c>
      <c r="D484">
        <v>84.65</v>
      </c>
      <c r="E484" t="s">
        <v>5</v>
      </c>
      <c r="F484">
        <v>7.13</v>
      </c>
      <c r="G484" t="s">
        <v>6</v>
      </c>
      <c r="H484" t="str">
        <f t="shared" si="45"/>
        <v>Passed</v>
      </c>
      <c r="I484" t="str">
        <f>IF(AND(Sheet1[[#This Row],[Attendance ]]&gt;65,Sheet1[[#This Row],[Attendance ]]&lt;75),"Yes","No")</f>
        <v>No</v>
      </c>
      <c r="J484" t="str">
        <f>IF(Sheet1[[#This Row],[Attendance ]]&lt;65,"Yes","No")</f>
        <v>No</v>
      </c>
    </row>
    <row r="485" spans="1:12" hidden="1" x14ac:dyDescent="0.35">
      <c r="A485" t="s">
        <v>526</v>
      </c>
      <c r="B485" t="s">
        <v>12</v>
      </c>
      <c r="C485" t="s">
        <v>35</v>
      </c>
      <c r="D485">
        <v>84.94</v>
      </c>
      <c r="E485" t="s">
        <v>5</v>
      </c>
      <c r="F485">
        <v>7.73</v>
      </c>
      <c r="G485" t="s">
        <v>6</v>
      </c>
      <c r="H485" t="str">
        <f t="shared" si="45"/>
        <v>Passed</v>
      </c>
      <c r="I485" t="str">
        <f>IF(AND(Sheet1[[#This Row],[Attendance ]]&gt;65,Sheet1[[#This Row],[Attendance ]]&lt;75),"Yes","No")</f>
        <v>No</v>
      </c>
      <c r="J485" t="str">
        <f>IF(Sheet1[[#This Row],[Attendance ]]&lt;65,"Yes","No")</f>
        <v>No</v>
      </c>
    </row>
    <row r="486" spans="1:12" hidden="1" x14ac:dyDescent="0.35">
      <c r="A486" t="s">
        <v>527</v>
      </c>
      <c r="B486" t="s">
        <v>19</v>
      </c>
      <c r="C486" t="s">
        <v>4</v>
      </c>
      <c r="D486">
        <v>97</v>
      </c>
      <c r="E486" t="s">
        <v>5</v>
      </c>
      <c r="F486">
        <v>9.66</v>
      </c>
      <c r="G486" t="s">
        <v>26</v>
      </c>
      <c r="H486" t="str">
        <f t="shared" si="45"/>
        <v>Passed</v>
      </c>
      <c r="I486" t="str">
        <f>IF(AND(Sheet1[[#This Row],[Attendance ]]&gt;65,Sheet1[[#This Row],[Attendance ]]&lt;75),"Yes","No")</f>
        <v>No</v>
      </c>
      <c r="J486" t="str">
        <f>IF(Sheet1[[#This Row],[Attendance ]]&lt;65,"Yes","No")</f>
        <v>No</v>
      </c>
    </row>
    <row r="487" spans="1:12" hidden="1" x14ac:dyDescent="0.35">
      <c r="A487" t="s">
        <v>528</v>
      </c>
      <c r="B487" t="s">
        <v>37</v>
      </c>
      <c r="C487" t="s">
        <v>13</v>
      </c>
      <c r="D487">
        <v>86.01</v>
      </c>
      <c r="E487" t="s">
        <v>5</v>
      </c>
      <c r="F487">
        <v>5.75</v>
      </c>
      <c r="G487" t="s">
        <v>28</v>
      </c>
      <c r="H487" t="str">
        <f t="shared" si="45"/>
        <v>Passed</v>
      </c>
      <c r="I487" t="str">
        <f>IF(AND(Sheet1[[#This Row],[Attendance ]]&gt;65,Sheet1[[#This Row],[Attendance ]]&lt;75),"Yes","No")</f>
        <v>No</v>
      </c>
      <c r="J487" t="str">
        <f>IF(Sheet1[[#This Row],[Attendance ]]&lt;65,"Yes","No")</f>
        <v>No</v>
      </c>
    </row>
    <row r="488" spans="1:12" x14ac:dyDescent="0.35">
      <c r="A488" t="s">
        <v>529</v>
      </c>
      <c r="B488" t="s">
        <v>72</v>
      </c>
      <c r="C488" t="s">
        <v>13</v>
      </c>
      <c r="D488">
        <v>68.2</v>
      </c>
      <c r="E488" t="s">
        <v>5</v>
      </c>
      <c r="F488">
        <v>5.0999999999999996</v>
      </c>
      <c r="G488" t="s">
        <v>28</v>
      </c>
      <c r="H488" t="str">
        <f t="shared" si="45"/>
        <v>Passed</v>
      </c>
      <c r="I488" t="str">
        <f>IF(AND(Sheet1[[#This Row],[Attendance ]]&gt;65,Sheet1[[#This Row],[Attendance ]]&lt;75),"Yes","No")</f>
        <v>Yes</v>
      </c>
      <c r="J488" t="str">
        <f>IF(Sheet1[[#This Row],[Attendance ]]&lt;65,"Yes","No")</f>
        <v>No</v>
      </c>
      <c r="K488" t="str">
        <f t="shared" ref="K488:K489" si="50">CHOOSE(MOD(ROW()-2,8)+1,
"Kadapa",
"Ananthapur",
"Rayachoti",
"Nellore",
"Chittoor",
"Madanapalli",
"Rajampeta",
"Tirupati")</f>
        <v>Rajampeta</v>
      </c>
      <c r="L488" t="str">
        <f t="shared" ref="L488:L489" si="51">IF(AND(G486="4th Year",E486="Pass",F486&gt;=7),"Yes","No")</f>
        <v>Yes</v>
      </c>
    </row>
    <row r="489" spans="1:12" x14ac:dyDescent="0.35">
      <c r="A489" t="s">
        <v>530</v>
      </c>
      <c r="B489" t="s">
        <v>43</v>
      </c>
      <c r="C489" t="s">
        <v>13</v>
      </c>
      <c r="D489">
        <v>68.16</v>
      </c>
      <c r="E489" t="s">
        <v>5</v>
      </c>
      <c r="F489">
        <v>8.73</v>
      </c>
      <c r="G489" t="s">
        <v>28</v>
      </c>
      <c r="H489" t="str">
        <f t="shared" si="45"/>
        <v>Passed</v>
      </c>
      <c r="I489" t="str">
        <f>IF(AND(Sheet1[[#This Row],[Attendance ]]&gt;65,Sheet1[[#This Row],[Attendance ]]&lt;75),"Yes","No")</f>
        <v>Yes</v>
      </c>
      <c r="J489" t="str">
        <f>IF(Sheet1[[#This Row],[Attendance ]]&lt;65,"Yes","No")</f>
        <v>No</v>
      </c>
      <c r="K489" t="str">
        <f t="shared" si="50"/>
        <v>Tirupati</v>
      </c>
      <c r="L489" t="str">
        <f t="shared" si="51"/>
        <v>No</v>
      </c>
    </row>
    <row r="490" spans="1:12" hidden="1" x14ac:dyDescent="0.35">
      <c r="A490" t="s">
        <v>531</v>
      </c>
      <c r="B490" t="s">
        <v>12</v>
      </c>
      <c r="C490" t="s">
        <v>9</v>
      </c>
      <c r="D490">
        <v>75.959999999999994</v>
      </c>
      <c r="E490" t="s">
        <v>5</v>
      </c>
      <c r="F490">
        <v>9.6999999999999993</v>
      </c>
      <c r="G490" t="s">
        <v>6</v>
      </c>
      <c r="H490" t="str">
        <f t="shared" si="45"/>
        <v>Passed</v>
      </c>
      <c r="I490" t="str">
        <f>IF(AND(Sheet1[[#This Row],[Attendance ]]&gt;65,Sheet1[[#This Row],[Attendance ]]&lt;75),"Yes","No")</f>
        <v>No</v>
      </c>
      <c r="J490" t="str">
        <f>IF(Sheet1[[#This Row],[Attendance ]]&lt;65,"Yes","No")</f>
        <v>No</v>
      </c>
    </row>
    <row r="491" spans="1:12" x14ac:dyDescent="0.35">
      <c r="A491" t="s">
        <v>532</v>
      </c>
      <c r="B491" t="s">
        <v>43</v>
      </c>
      <c r="C491" t="s">
        <v>4</v>
      </c>
      <c r="D491">
        <v>71.239999999999995</v>
      </c>
      <c r="E491" t="s">
        <v>5</v>
      </c>
      <c r="F491">
        <v>5.57</v>
      </c>
      <c r="G491" t="s">
        <v>28</v>
      </c>
      <c r="H491" t="str">
        <f t="shared" si="45"/>
        <v>Passed</v>
      </c>
      <c r="I491" t="str">
        <f>IF(AND(Sheet1[[#This Row],[Attendance ]]&gt;65,Sheet1[[#This Row],[Attendance ]]&lt;75),"Yes","No")</f>
        <v>Yes</v>
      </c>
      <c r="J491" t="str">
        <f>IF(Sheet1[[#This Row],[Attendance ]]&lt;65,"Yes","No")</f>
        <v>No</v>
      </c>
      <c r="K491" t="str">
        <f>CHOOSE(MOD(ROW()-2,8)+1,
"Kadapa",
"Ananthapur",
"Rayachoti",
"Nellore",
"Chittoor",
"Madanapalli",
"Rajampeta",
"Tirupati")</f>
        <v>Ananthapur</v>
      </c>
      <c r="L491" t="str">
        <f>IF(AND(G489="4th Year",E489="Pass",F489&gt;=7),"Yes","No")</f>
        <v>No</v>
      </c>
    </row>
    <row r="492" spans="1:12" hidden="1" x14ac:dyDescent="0.35">
      <c r="A492" t="s">
        <v>533</v>
      </c>
      <c r="B492" t="s">
        <v>51</v>
      </c>
      <c r="C492" t="s">
        <v>4</v>
      </c>
      <c r="D492">
        <v>75.17</v>
      </c>
      <c r="E492" t="s">
        <v>10</v>
      </c>
      <c r="F492">
        <v>5.19</v>
      </c>
      <c r="G492" t="s">
        <v>6</v>
      </c>
      <c r="H492" t="str">
        <f t="shared" si="45"/>
        <v>DBMS</v>
      </c>
      <c r="I492" t="str">
        <f>IF(AND(Sheet1[[#This Row],[Attendance ]]&gt;65,Sheet1[[#This Row],[Attendance ]]&lt;75),"Yes","No")</f>
        <v>No</v>
      </c>
      <c r="J492" t="str">
        <f>IF(Sheet1[[#This Row],[Attendance ]]&lt;65,"Yes","No")</f>
        <v>No</v>
      </c>
    </row>
    <row r="493" spans="1:12" hidden="1" x14ac:dyDescent="0.35">
      <c r="A493" t="s">
        <v>534</v>
      </c>
      <c r="B493" t="s">
        <v>12</v>
      </c>
      <c r="C493" t="s">
        <v>4</v>
      </c>
      <c r="D493">
        <v>83.37</v>
      </c>
      <c r="E493" t="s">
        <v>10</v>
      </c>
      <c r="F493">
        <v>5.21</v>
      </c>
      <c r="G493" t="s">
        <v>6</v>
      </c>
      <c r="H493" t="str">
        <f t="shared" si="45"/>
        <v>DBMS</v>
      </c>
      <c r="I493" t="str">
        <f>IF(AND(Sheet1[[#This Row],[Attendance ]]&gt;65,Sheet1[[#This Row],[Attendance ]]&lt;75),"Yes","No")</f>
        <v>No</v>
      </c>
      <c r="J493" t="str">
        <f>IF(Sheet1[[#This Row],[Attendance ]]&lt;65,"Yes","No")</f>
        <v>No</v>
      </c>
    </row>
    <row r="494" spans="1:12" hidden="1" x14ac:dyDescent="0.35">
      <c r="A494" t="s">
        <v>535</v>
      </c>
      <c r="B494" t="s">
        <v>164</v>
      </c>
      <c r="C494" t="s">
        <v>13</v>
      </c>
      <c r="D494">
        <v>80.98</v>
      </c>
      <c r="E494" t="s">
        <v>5</v>
      </c>
      <c r="F494">
        <v>8.1</v>
      </c>
      <c r="G494" t="s">
        <v>28</v>
      </c>
      <c r="H494" t="str">
        <f t="shared" si="45"/>
        <v>Passed</v>
      </c>
      <c r="I494" t="str">
        <f>IF(AND(Sheet1[[#This Row],[Attendance ]]&gt;65,Sheet1[[#This Row],[Attendance ]]&lt;75),"Yes","No")</f>
        <v>No</v>
      </c>
      <c r="J494" t="str">
        <f>IF(Sheet1[[#This Row],[Attendance ]]&lt;65,"Yes","No")</f>
        <v>No</v>
      </c>
    </row>
    <row r="495" spans="1:12" hidden="1" x14ac:dyDescent="0.35">
      <c r="A495" t="s">
        <v>536</v>
      </c>
      <c r="B495" t="s">
        <v>70</v>
      </c>
      <c r="C495" t="s">
        <v>23</v>
      </c>
      <c r="D495">
        <v>89.62</v>
      </c>
      <c r="E495" t="s">
        <v>5</v>
      </c>
      <c r="F495">
        <v>9.32</v>
      </c>
      <c r="G495" t="s">
        <v>26</v>
      </c>
      <c r="H495" t="str">
        <f t="shared" si="45"/>
        <v>Passed</v>
      </c>
      <c r="I495" t="str">
        <f>IF(AND(Sheet1[[#This Row],[Attendance ]]&gt;65,Sheet1[[#This Row],[Attendance ]]&lt;75),"Yes","No")</f>
        <v>No</v>
      </c>
      <c r="J495" t="str">
        <f>IF(Sheet1[[#This Row],[Attendance ]]&lt;65,"Yes","No")</f>
        <v>No</v>
      </c>
    </row>
    <row r="496" spans="1:12" hidden="1" x14ac:dyDescent="0.35">
      <c r="A496" t="s">
        <v>537</v>
      </c>
      <c r="B496" t="s">
        <v>107</v>
      </c>
      <c r="C496" t="s">
        <v>9</v>
      </c>
      <c r="D496">
        <v>60.9</v>
      </c>
      <c r="E496" t="s">
        <v>5</v>
      </c>
      <c r="F496">
        <v>5.24</v>
      </c>
      <c r="G496" t="s">
        <v>6</v>
      </c>
      <c r="H496" t="str">
        <f t="shared" si="45"/>
        <v>Passed</v>
      </c>
      <c r="I496" t="str">
        <f>IF(AND(Sheet1[[#This Row],[Attendance ]]&gt;65,Sheet1[[#This Row],[Attendance ]]&lt;75),"Yes","No")</f>
        <v>No</v>
      </c>
      <c r="J496" t="str">
        <f>IF(Sheet1[[#This Row],[Attendance ]]&lt;65,"Yes","No")</f>
        <v>Yes</v>
      </c>
    </row>
    <row r="497" spans="1:12" hidden="1" x14ac:dyDescent="0.35">
      <c r="A497" t="s">
        <v>538</v>
      </c>
      <c r="B497" t="s">
        <v>58</v>
      </c>
      <c r="C497" t="s">
        <v>35</v>
      </c>
      <c r="D497">
        <v>76.400000000000006</v>
      </c>
      <c r="E497" t="s">
        <v>5</v>
      </c>
      <c r="F497">
        <v>6.75</v>
      </c>
      <c r="G497" t="s">
        <v>26</v>
      </c>
      <c r="H497" t="str">
        <f t="shared" si="45"/>
        <v>Passed</v>
      </c>
      <c r="I497" t="str">
        <f>IF(AND(Sheet1[[#This Row],[Attendance ]]&gt;65,Sheet1[[#This Row],[Attendance ]]&lt;75),"Yes","No")</f>
        <v>No</v>
      </c>
      <c r="J497" t="str">
        <f>IF(Sheet1[[#This Row],[Attendance ]]&lt;65,"Yes","No")</f>
        <v>No</v>
      </c>
    </row>
    <row r="498" spans="1:12" hidden="1" x14ac:dyDescent="0.35">
      <c r="A498" t="s">
        <v>539</v>
      </c>
      <c r="B498" t="s">
        <v>34</v>
      </c>
      <c r="C498" t="s">
        <v>23</v>
      </c>
      <c r="D498">
        <v>96.87</v>
      </c>
      <c r="E498" t="s">
        <v>5</v>
      </c>
      <c r="F498">
        <v>9.15</v>
      </c>
      <c r="G498" t="s">
        <v>26</v>
      </c>
      <c r="H498" t="str">
        <f t="shared" si="45"/>
        <v>Passed</v>
      </c>
      <c r="I498" t="str">
        <f>IF(AND(Sheet1[[#This Row],[Attendance ]]&gt;65,Sheet1[[#This Row],[Attendance ]]&lt;75),"Yes","No")</f>
        <v>No</v>
      </c>
      <c r="J498" t="str">
        <f>IF(Sheet1[[#This Row],[Attendance ]]&lt;65,"Yes","No")</f>
        <v>No</v>
      </c>
    </row>
    <row r="499" spans="1:12" hidden="1" x14ac:dyDescent="0.35">
      <c r="A499" t="s">
        <v>540</v>
      </c>
      <c r="B499" t="s">
        <v>149</v>
      </c>
      <c r="C499" t="s">
        <v>35</v>
      </c>
      <c r="D499">
        <v>83.88</v>
      </c>
      <c r="E499" t="s">
        <v>5</v>
      </c>
      <c r="F499">
        <v>5.93</v>
      </c>
      <c r="G499" t="s">
        <v>28</v>
      </c>
      <c r="H499" t="str">
        <f t="shared" si="45"/>
        <v>Passed</v>
      </c>
      <c r="I499" t="str">
        <f>IF(AND(Sheet1[[#This Row],[Attendance ]]&gt;65,Sheet1[[#This Row],[Attendance ]]&lt;75),"Yes","No")</f>
        <v>No</v>
      </c>
      <c r="J499" t="str">
        <f>IF(Sheet1[[#This Row],[Attendance ]]&lt;65,"Yes","No")</f>
        <v>No</v>
      </c>
    </row>
    <row r="500" spans="1:12" hidden="1" x14ac:dyDescent="0.35">
      <c r="A500" t="s">
        <v>541</v>
      </c>
      <c r="B500" t="s">
        <v>32</v>
      </c>
      <c r="C500" t="s">
        <v>13</v>
      </c>
      <c r="D500">
        <v>94.24</v>
      </c>
      <c r="E500" t="s">
        <v>5</v>
      </c>
      <c r="F500">
        <v>9.1999999999999993</v>
      </c>
      <c r="G500" t="s">
        <v>11</v>
      </c>
      <c r="H500" t="str">
        <f t="shared" si="45"/>
        <v>Passed</v>
      </c>
      <c r="I500" t="str">
        <f>IF(AND(Sheet1[[#This Row],[Attendance ]]&gt;65,Sheet1[[#This Row],[Attendance ]]&lt;75),"Yes","No")</f>
        <v>No</v>
      </c>
      <c r="J500" t="str">
        <f>IF(Sheet1[[#This Row],[Attendance ]]&lt;65,"Yes","No")</f>
        <v>No</v>
      </c>
    </row>
    <row r="501" spans="1:12" hidden="1" x14ac:dyDescent="0.35">
      <c r="A501" t="s">
        <v>542</v>
      </c>
      <c r="B501" t="s">
        <v>8</v>
      </c>
      <c r="C501" t="s">
        <v>23</v>
      </c>
      <c r="D501">
        <v>98.9</v>
      </c>
      <c r="E501" t="s">
        <v>5</v>
      </c>
      <c r="F501">
        <v>9.25</v>
      </c>
      <c r="G501" t="s">
        <v>28</v>
      </c>
      <c r="H501" t="str">
        <f t="shared" si="45"/>
        <v>Passed</v>
      </c>
      <c r="I501" t="str">
        <f>IF(AND(Sheet1[[#This Row],[Attendance ]]&gt;65,Sheet1[[#This Row],[Attendance ]]&lt;75),"Yes","No")</f>
        <v>No</v>
      </c>
      <c r="J501" t="str">
        <f>IF(Sheet1[[#This Row],[Attendance ]]&lt;65,"Yes","No")</f>
        <v>No</v>
      </c>
    </row>
    <row r="502" spans="1:12" x14ac:dyDescent="0.35">
      <c r="A502" t="s">
        <v>543</v>
      </c>
      <c r="B502" t="s">
        <v>149</v>
      </c>
      <c r="C502" t="s">
        <v>13</v>
      </c>
      <c r="D502">
        <v>66.06</v>
      </c>
      <c r="E502" t="s">
        <v>5</v>
      </c>
      <c r="F502">
        <v>9.15</v>
      </c>
      <c r="G502" t="s">
        <v>26</v>
      </c>
      <c r="H502" t="str">
        <f t="shared" si="45"/>
        <v>Passed</v>
      </c>
      <c r="I502" t="str">
        <f>IF(AND(Sheet1[[#This Row],[Attendance ]]&gt;65,Sheet1[[#This Row],[Attendance ]]&lt;75),"Yes","No")</f>
        <v>Yes</v>
      </c>
      <c r="J502" t="str">
        <f>IF(Sheet1[[#This Row],[Attendance ]]&lt;65,"Yes","No")</f>
        <v>No</v>
      </c>
      <c r="K502" t="str">
        <f>CHOOSE(MOD(ROW()-2,8)+1,
"Kadapa",
"Ananthapur",
"Rayachoti",
"Nellore",
"Chittoor",
"Madanapalli",
"Rajampeta",
"Tirupati")</f>
        <v>Chittoor</v>
      </c>
      <c r="L502" t="str">
        <f>IF(AND(G500="4th Year",E500="Pass",F500&gt;=7),"Yes","No")</f>
        <v>No</v>
      </c>
    </row>
    <row r="503" spans="1:12" hidden="1" x14ac:dyDescent="0.35">
      <c r="A503" t="s">
        <v>544</v>
      </c>
      <c r="B503" t="s">
        <v>25</v>
      </c>
      <c r="C503" t="s">
        <v>4</v>
      </c>
      <c r="D503">
        <v>64.5</v>
      </c>
      <c r="E503" t="s">
        <v>5</v>
      </c>
      <c r="F503">
        <v>8.67</v>
      </c>
      <c r="G503" t="s">
        <v>6</v>
      </c>
      <c r="H503" t="str">
        <f t="shared" si="45"/>
        <v>Passed</v>
      </c>
      <c r="I503" t="str">
        <f>IF(AND(Sheet1[[#This Row],[Attendance ]]&gt;65,Sheet1[[#This Row],[Attendance ]]&lt;75),"Yes","No")</f>
        <v>No</v>
      </c>
      <c r="J503" t="str">
        <f>IF(Sheet1[[#This Row],[Attendance ]]&lt;65,"Yes","No")</f>
        <v>Yes</v>
      </c>
    </row>
    <row r="504" spans="1:12" hidden="1" x14ac:dyDescent="0.35">
      <c r="A504" t="s">
        <v>545</v>
      </c>
      <c r="B504" t="s">
        <v>45</v>
      </c>
      <c r="C504" t="s">
        <v>9</v>
      </c>
      <c r="D504">
        <v>61.43</v>
      </c>
      <c r="E504" t="s">
        <v>5</v>
      </c>
      <c r="F504">
        <v>6.03</v>
      </c>
      <c r="G504" t="s">
        <v>11</v>
      </c>
      <c r="H504" t="str">
        <f t="shared" si="45"/>
        <v>Passed</v>
      </c>
      <c r="I504" t="str">
        <f>IF(AND(Sheet1[[#This Row],[Attendance ]]&gt;65,Sheet1[[#This Row],[Attendance ]]&lt;75),"Yes","No")</f>
        <v>No</v>
      </c>
      <c r="J504" t="str">
        <f>IF(Sheet1[[#This Row],[Attendance ]]&lt;65,"Yes","No")</f>
        <v>Yes</v>
      </c>
    </row>
    <row r="505" spans="1:12" hidden="1" x14ac:dyDescent="0.35">
      <c r="A505" t="s">
        <v>546</v>
      </c>
      <c r="B505" t="s">
        <v>30</v>
      </c>
      <c r="C505" t="s">
        <v>23</v>
      </c>
      <c r="D505">
        <v>85.25</v>
      </c>
      <c r="E505" t="s">
        <v>5</v>
      </c>
      <c r="F505">
        <v>9.58</v>
      </c>
      <c r="G505" t="s">
        <v>6</v>
      </c>
      <c r="H505" t="str">
        <f t="shared" si="45"/>
        <v>Passed</v>
      </c>
      <c r="I505" t="str">
        <f>IF(AND(Sheet1[[#This Row],[Attendance ]]&gt;65,Sheet1[[#This Row],[Attendance ]]&lt;75),"Yes","No")</f>
        <v>No</v>
      </c>
      <c r="J505" t="str">
        <f>IF(Sheet1[[#This Row],[Attendance ]]&lt;65,"Yes","No")</f>
        <v>No</v>
      </c>
    </row>
    <row r="506" spans="1:12" hidden="1" x14ac:dyDescent="0.35">
      <c r="A506" t="s">
        <v>547</v>
      </c>
      <c r="B506" t="s">
        <v>22</v>
      </c>
      <c r="C506" t="s">
        <v>20</v>
      </c>
      <c r="D506">
        <v>78.44</v>
      </c>
      <c r="E506" t="s">
        <v>5</v>
      </c>
      <c r="F506">
        <v>7.22</v>
      </c>
      <c r="G506" t="s">
        <v>26</v>
      </c>
      <c r="H506" t="str">
        <f t="shared" si="45"/>
        <v>Passed</v>
      </c>
      <c r="I506" t="str">
        <f>IF(AND(Sheet1[[#This Row],[Attendance ]]&gt;65,Sheet1[[#This Row],[Attendance ]]&lt;75),"Yes","No")</f>
        <v>No</v>
      </c>
      <c r="J506" t="str">
        <f>IF(Sheet1[[#This Row],[Attendance ]]&lt;65,"Yes","No")</f>
        <v>No</v>
      </c>
    </row>
    <row r="507" spans="1:12" x14ac:dyDescent="0.35">
      <c r="A507" t="s">
        <v>548</v>
      </c>
      <c r="B507" t="s">
        <v>72</v>
      </c>
      <c r="C507" t="s">
        <v>13</v>
      </c>
      <c r="D507">
        <v>72.39</v>
      </c>
      <c r="E507" t="s">
        <v>10</v>
      </c>
      <c r="F507">
        <v>6.76</v>
      </c>
      <c r="G507" t="s">
        <v>28</v>
      </c>
      <c r="H507" t="str">
        <f t="shared" si="45"/>
        <v>Machine Learning</v>
      </c>
      <c r="I507" t="str">
        <f>IF(AND(Sheet1[[#This Row],[Attendance ]]&gt;65,Sheet1[[#This Row],[Attendance ]]&lt;75),"Yes","No")</f>
        <v>Yes</v>
      </c>
      <c r="J507" t="str">
        <f>IF(Sheet1[[#This Row],[Attendance ]]&lt;65,"Yes","No")</f>
        <v>No</v>
      </c>
      <c r="K507" t="str">
        <f>CHOOSE(MOD(ROW()-2,8)+1,
"Kadapa",
"Ananthapur",
"Rayachoti",
"Nellore",
"Chittoor",
"Madanapalli",
"Rajampeta",
"Tirupati")</f>
        <v>Ananthapur</v>
      </c>
      <c r="L507" t="str">
        <f>IF(AND(G505="4th Year",E505="Pass",F505&gt;=7),"Yes","No")</f>
        <v>No</v>
      </c>
    </row>
    <row r="508" spans="1:12" hidden="1" x14ac:dyDescent="0.35">
      <c r="A508" t="s">
        <v>549</v>
      </c>
      <c r="B508" t="s">
        <v>88</v>
      </c>
      <c r="C508" t="s">
        <v>9</v>
      </c>
      <c r="D508">
        <v>96.62</v>
      </c>
      <c r="E508" t="s">
        <v>5</v>
      </c>
      <c r="F508">
        <v>6.23</v>
      </c>
      <c r="G508" t="s">
        <v>6</v>
      </c>
      <c r="H508" t="str">
        <f t="shared" si="45"/>
        <v>Passed</v>
      </c>
      <c r="I508" t="str">
        <f>IF(AND(Sheet1[[#This Row],[Attendance ]]&gt;65,Sheet1[[#This Row],[Attendance ]]&lt;75),"Yes","No")</f>
        <v>No</v>
      </c>
      <c r="J508" t="str">
        <f>IF(Sheet1[[#This Row],[Attendance ]]&lt;65,"Yes","No")</f>
        <v>No</v>
      </c>
    </row>
    <row r="509" spans="1:12" hidden="1" x14ac:dyDescent="0.35">
      <c r="A509" t="s">
        <v>550</v>
      </c>
      <c r="B509" t="s">
        <v>17</v>
      </c>
      <c r="C509" t="s">
        <v>13</v>
      </c>
      <c r="D509">
        <v>98.47</v>
      </c>
      <c r="E509" t="s">
        <v>5</v>
      </c>
      <c r="F509">
        <v>8.4700000000000006</v>
      </c>
      <c r="G509" t="s">
        <v>6</v>
      </c>
      <c r="H509" t="str">
        <f t="shared" si="45"/>
        <v>Passed</v>
      </c>
      <c r="I509" t="str">
        <f>IF(AND(Sheet1[[#This Row],[Attendance ]]&gt;65,Sheet1[[#This Row],[Attendance ]]&lt;75),"Yes","No")</f>
        <v>No</v>
      </c>
      <c r="J509" t="str">
        <f>IF(Sheet1[[#This Row],[Attendance ]]&lt;65,"Yes","No")</f>
        <v>No</v>
      </c>
    </row>
    <row r="510" spans="1:12" hidden="1" x14ac:dyDescent="0.35">
      <c r="A510" t="s">
        <v>551</v>
      </c>
      <c r="B510" t="s">
        <v>37</v>
      </c>
      <c r="C510" t="s">
        <v>20</v>
      </c>
      <c r="D510">
        <v>91.07</v>
      </c>
      <c r="E510" t="s">
        <v>5</v>
      </c>
      <c r="F510">
        <v>5.71</v>
      </c>
      <c r="G510" t="s">
        <v>26</v>
      </c>
      <c r="H510" t="str">
        <f t="shared" si="45"/>
        <v>Passed</v>
      </c>
      <c r="I510" t="str">
        <f>IF(AND(Sheet1[[#This Row],[Attendance ]]&gt;65,Sheet1[[#This Row],[Attendance ]]&lt;75),"Yes","No")</f>
        <v>No</v>
      </c>
      <c r="J510" t="str">
        <f>IF(Sheet1[[#This Row],[Attendance ]]&lt;65,"Yes","No")</f>
        <v>No</v>
      </c>
    </row>
    <row r="511" spans="1:12" x14ac:dyDescent="0.35">
      <c r="A511" t="s">
        <v>552</v>
      </c>
      <c r="B511" t="s">
        <v>34</v>
      </c>
      <c r="C511" t="s">
        <v>4</v>
      </c>
      <c r="D511">
        <v>69.33</v>
      </c>
      <c r="E511" t="s">
        <v>5</v>
      </c>
      <c r="F511">
        <v>7.99</v>
      </c>
      <c r="G511" t="s">
        <v>28</v>
      </c>
      <c r="H511" t="str">
        <f t="shared" si="45"/>
        <v>Passed</v>
      </c>
      <c r="I511" t="str">
        <f>IF(AND(Sheet1[[#This Row],[Attendance ]]&gt;65,Sheet1[[#This Row],[Attendance ]]&lt;75),"Yes","No")</f>
        <v>Yes</v>
      </c>
      <c r="J511" t="str">
        <f>IF(Sheet1[[#This Row],[Attendance ]]&lt;65,"Yes","No")</f>
        <v>No</v>
      </c>
      <c r="K511" t="str">
        <f>CHOOSE(MOD(ROW()-2,8)+1,
"Kadapa",
"Ananthapur",
"Rayachoti",
"Nellore",
"Chittoor",
"Madanapalli",
"Rajampeta",
"Tirupati")</f>
        <v>Madanapalli</v>
      </c>
      <c r="L511" t="str">
        <f>IF(AND(G509="4th Year",E509="Pass",F509&gt;=7),"Yes","No")</f>
        <v>No</v>
      </c>
    </row>
    <row r="512" spans="1:12" hidden="1" x14ac:dyDescent="0.35">
      <c r="A512" t="s">
        <v>553</v>
      </c>
      <c r="B512" t="s">
        <v>17</v>
      </c>
      <c r="C512" t="s">
        <v>13</v>
      </c>
      <c r="D512">
        <v>79.98</v>
      </c>
      <c r="E512" t="s">
        <v>5</v>
      </c>
      <c r="F512">
        <v>6.47</v>
      </c>
      <c r="G512" t="s">
        <v>28</v>
      </c>
      <c r="H512" t="str">
        <f t="shared" si="45"/>
        <v>Passed</v>
      </c>
      <c r="I512" t="str">
        <f>IF(AND(Sheet1[[#This Row],[Attendance ]]&gt;65,Sheet1[[#This Row],[Attendance ]]&lt;75),"Yes","No")</f>
        <v>No</v>
      </c>
      <c r="J512" t="str">
        <f>IF(Sheet1[[#This Row],[Attendance ]]&lt;65,"Yes","No")</f>
        <v>No</v>
      </c>
    </row>
    <row r="513" spans="1:12" x14ac:dyDescent="0.35">
      <c r="A513" t="s">
        <v>554</v>
      </c>
      <c r="B513" t="s">
        <v>39</v>
      </c>
      <c r="C513" t="s">
        <v>13</v>
      </c>
      <c r="D513">
        <v>74.790000000000006</v>
      </c>
      <c r="E513" t="s">
        <v>10</v>
      </c>
      <c r="F513">
        <v>9.4</v>
      </c>
      <c r="G513" t="s">
        <v>26</v>
      </c>
      <c r="H513" t="str">
        <f t="shared" si="45"/>
        <v>Deep Learning</v>
      </c>
      <c r="I513" t="str">
        <f>IF(AND(Sheet1[[#This Row],[Attendance ]]&gt;65,Sheet1[[#This Row],[Attendance ]]&lt;75),"Yes","No")</f>
        <v>Yes</v>
      </c>
      <c r="J513" t="str">
        <f>IF(Sheet1[[#This Row],[Attendance ]]&lt;65,"Yes","No")</f>
        <v>No</v>
      </c>
      <c r="K513" t="str">
        <f>CHOOSE(MOD(ROW()-2,8)+1,
"Kadapa",
"Ananthapur",
"Rayachoti",
"Nellore",
"Chittoor",
"Madanapalli",
"Rajampeta",
"Tirupati")</f>
        <v>Tirupati</v>
      </c>
      <c r="L513" t="str">
        <f>IF(AND(G511="4th Year",E511="Pass",F511&gt;=7),"Yes","No")</f>
        <v>No</v>
      </c>
    </row>
    <row r="514" spans="1:12" hidden="1" x14ac:dyDescent="0.35">
      <c r="A514" t="s">
        <v>555</v>
      </c>
      <c r="B514" t="s">
        <v>88</v>
      </c>
      <c r="C514" t="s">
        <v>9</v>
      </c>
      <c r="D514">
        <v>80.17</v>
      </c>
      <c r="E514" t="s">
        <v>5</v>
      </c>
      <c r="F514">
        <v>7.31</v>
      </c>
      <c r="G514" t="s">
        <v>28</v>
      </c>
      <c r="H514" t="str">
        <f t="shared" ref="H514:H577" si="52">IF(E514="Pass","Passed",
IF(G514="1st Year","M1",
IF(G514="2nd Year","DBMS",
IF(G514="3rd Year","Machine Learning",
IF(G514="4th Year","Deep Learning","")))))</f>
        <v>Passed</v>
      </c>
      <c r="I514" t="str">
        <f>IF(AND(Sheet1[[#This Row],[Attendance ]]&gt;65,Sheet1[[#This Row],[Attendance ]]&lt;75),"Yes","No")</f>
        <v>No</v>
      </c>
      <c r="J514" t="str">
        <f>IF(Sheet1[[#This Row],[Attendance ]]&lt;65,"Yes","No")</f>
        <v>No</v>
      </c>
    </row>
    <row r="515" spans="1:12" x14ac:dyDescent="0.35">
      <c r="A515" t="s">
        <v>556</v>
      </c>
      <c r="B515" t="s">
        <v>3</v>
      </c>
      <c r="C515" t="s">
        <v>20</v>
      </c>
      <c r="D515">
        <v>68.77</v>
      </c>
      <c r="E515" t="s">
        <v>5</v>
      </c>
      <c r="F515">
        <v>5.84</v>
      </c>
      <c r="G515" t="s">
        <v>6</v>
      </c>
      <c r="H515" t="str">
        <f t="shared" si="52"/>
        <v>Passed</v>
      </c>
      <c r="I515" t="str">
        <f>IF(AND(Sheet1[[#This Row],[Attendance ]]&gt;65,Sheet1[[#This Row],[Attendance ]]&lt;75),"Yes","No")</f>
        <v>Yes</v>
      </c>
      <c r="J515" t="str">
        <f>IF(Sheet1[[#This Row],[Attendance ]]&lt;65,"Yes","No")</f>
        <v>No</v>
      </c>
      <c r="K515" t="str">
        <f>CHOOSE(MOD(ROW()-2,8)+1,
"Kadapa",
"Ananthapur",
"Rayachoti",
"Nellore",
"Chittoor",
"Madanapalli",
"Rajampeta",
"Tirupati")</f>
        <v>Ananthapur</v>
      </c>
      <c r="L515" t="str">
        <f>IF(AND(G513="4th Year",E513="Pass",F513&gt;=7),"Yes","No")</f>
        <v>No</v>
      </c>
    </row>
    <row r="516" spans="1:12" hidden="1" x14ac:dyDescent="0.35">
      <c r="A516" t="s">
        <v>557</v>
      </c>
      <c r="B516" t="s">
        <v>37</v>
      </c>
      <c r="C516" t="s">
        <v>20</v>
      </c>
      <c r="D516">
        <v>80.61</v>
      </c>
      <c r="E516" t="s">
        <v>5</v>
      </c>
      <c r="F516">
        <v>6.62</v>
      </c>
      <c r="G516" t="s">
        <v>26</v>
      </c>
      <c r="H516" t="str">
        <f t="shared" si="52"/>
        <v>Passed</v>
      </c>
      <c r="I516" t="str">
        <f>IF(AND(Sheet1[[#This Row],[Attendance ]]&gt;65,Sheet1[[#This Row],[Attendance ]]&lt;75),"Yes","No")</f>
        <v>No</v>
      </c>
      <c r="J516" t="str">
        <f>IF(Sheet1[[#This Row],[Attendance ]]&lt;65,"Yes","No")</f>
        <v>No</v>
      </c>
    </row>
    <row r="517" spans="1:12" x14ac:dyDescent="0.35">
      <c r="A517" t="s">
        <v>558</v>
      </c>
      <c r="B517" t="s">
        <v>30</v>
      </c>
      <c r="C517" t="s">
        <v>4</v>
      </c>
      <c r="D517">
        <v>67.239999999999995</v>
      </c>
      <c r="E517" t="s">
        <v>10</v>
      </c>
      <c r="F517">
        <v>9.3800000000000008</v>
      </c>
      <c r="G517" t="s">
        <v>11</v>
      </c>
      <c r="H517" t="str">
        <f t="shared" si="52"/>
        <v>M1</v>
      </c>
      <c r="I517" t="str">
        <f>IF(AND(Sheet1[[#This Row],[Attendance ]]&gt;65,Sheet1[[#This Row],[Attendance ]]&lt;75),"Yes","No")</f>
        <v>Yes</v>
      </c>
      <c r="J517" t="str">
        <f>IF(Sheet1[[#This Row],[Attendance ]]&lt;65,"Yes","No")</f>
        <v>No</v>
      </c>
      <c r="K517" t="str">
        <f>CHOOSE(MOD(ROW()-2,8)+1,
"Kadapa",
"Ananthapur",
"Rayachoti",
"Nellore",
"Chittoor",
"Madanapalli",
"Rajampeta",
"Tirupati")</f>
        <v>Nellore</v>
      </c>
      <c r="L517" t="str">
        <f>IF(AND(G515="4th Year",E515="Pass",F515&gt;=7),"Yes","No")</f>
        <v>No</v>
      </c>
    </row>
    <row r="518" spans="1:12" hidden="1" x14ac:dyDescent="0.35">
      <c r="A518" t="s">
        <v>559</v>
      </c>
      <c r="B518" t="s">
        <v>61</v>
      </c>
      <c r="C518" t="s">
        <v>23</v>
      </c>
      <c r="D518">
        <v>64.84</v>
      </c>
      <c r="E518" t="s">
        <v>5</v>
      </c>
      <c r="F518">
        <v>7.05</v>
      </c>
      <c r="G518" t="s">
        <v>11</v>
      </c>
      <c r="H518" t="str">
        <f t="shared" si="52"/>
        <v>Passed</v>
      </c>
      <c r="I518" t="str">
        <f>IF(AND(Sheet1[[#This Row],[Attendance ]]&gt;65,Sheet1[[#This Row],[Attendance ]]&lt;75),"Yes","No")</f>
        <v>No</v>
      </c>
      <c r="J518" t="str">
        <f>IF(Sheet1[[#This Row],[Attendance ]]&lt;65,"Yes","No")</f>
        <v>Yes</v>
      </c>
    </row>
    <row r="519" spans="1:12" hidden="1" x14ac:dyDescent="0.35">
      <c r="A519" t="s">
        <v>560</v>
      </c>
      <c r="B519" t="s">
        <v>164</v>
      </c>
      <c r="C519" t="s">
        <v>4</v>
      </c>
      <c r="D519">
        <v>99.5</v>
      </c>
      <c r="E519" t="s">
        <v>5</v>
      </c>
      <c r="F519">
        <v>8.23</v>
      </c>
      <c r="G519" t="s">
        <v>6</v>
      </c>
      <c r="H519" t="str">
        <f t="shared" si="52"/>
        <v>Passed</v>
      </c>
      <c r="I519" t="str">
        <f>IF(AND(Sheet1[[#This Row],[Attendance ]]&gt;65,Sheet1[[#This Row],[Attendance ]]&lt;75),"Yes","No")</f>
        <v>No</v>
      </c>
      <c r="J519" t="str">
        <f>IF(Sheet1[[#This Row],[Attendance ]]&lt;65,"Yes","No")</f>
        <v>No</v>
      </c>
    </row>
    <row r="520" spans="1:12" hidden="1" x14ac:dyDescent="0.35">
      <c r="A520" t="s">
        <v>561</v>
      </c>
      <c r="B520" t="s">
        <v>19</v>
      </c>
      <c r="C520" t="s">
        <v>13</v>
      </c>
      <c r="D520">
        <v>89.78</v>
      </c>
      <c r="E520" t="s">
        <v>10</v>
      </c>
      <c r="F520">
        <v>5.18</v>
      </c>
      <c r="G520" t="s">
        <v>26</v>
      </c>
      <c r="H520" t="str">
        <f t="shared" si="52"/>
        <v>Deep Learning</v>
      </c>
      <c r="I520" t="str">
        <f>IF(AND(Sheet1[[#This Row],[Attendance ]]&gt;65,Sheet1[[#This Row],[Attendance ]]&lt;75),"Yes","No")</f>
        <v>No</v>
      </c>
      <c r="J520" t="str">
        <f>IF(Sheet1[[#This Row],[Attendance ]]&lt;65,"Yes","No")</f>
        <v>No</v>
      </c>
    </row>
    <row r="521" spans="1:12" x14ac:dyDescent="0.35">
      <c r="A521" t="s">
        <v>562</v>
      </c>
      <c r="B521" t="s">
        <v>149</v>
      </c>
      <c r="C521" t="s">
        <v>23</v>
      </c>
      <c r="D521">
        <v>67.25</v>
      </c>
      <c r="E521" t="s">
        <v>5</v>
      </c>
      <c r="F521">
        <v>7.04</v>
      </c>
      <c r="G521" t="s">
        <v>28</v>
      </c>
      <c r="H521" t="str">
        <f t="shared" si="52"/>
        <v>Passed</v>
      </c>
      <c r="I521" t="str">
        <f>IF(AND(Sheet1[[#This Row],[Attendance ]]&gt;65,Sheet1[[#This Row],[Attendance ]]&lt;75),"Yes","No")</f>
        <v>Yes</v>
      </c>
      <c r="J521" t="str">
        <f>IF(Sheet1[[#This Row],[Attendance ]]&lt;65,"Yes","No")</f>
        <v>No</v>
      </c>
      <c r="K521" t="str">
        <f>CHOOSE(MOD(ROW()-2,8)+1,
"Kadapa",
"Ananthapur",
"Rayachoti",
"Nellore",
"Chittoor",
"Madanapalli",
"Rajampeta",
"Tirupati")</f>
        <v>Tirupati</v>
      </c>
      <c r="L521" t="str">
        <f>IF(AND(G519="4th Year",E519="Pass",F519&gt;=7),"Yes","No")</f>
        <v>No</v>
      </c>
    </row>
    <row r="522" spans="1:12" hidden="1" x14ac:dyDescent="0.35">
      <c r="A522" t="s">
        <v>563</v>
      </c>
      <c r="B522" t="s">
        <v>34</v>
      </c>
      <c r="C522" t="s">
        <v>4</v>
      </c>
      <c r="D522">
        <v>60.46</v>
      </c>
      <c r="E522" t="s">
        <v>10</v>
      </c>
      <c r="F522">
        <v>8.61</v>
      </c>
      <c r="G522" t="s">
        <v>26</v>
      </c>
      <c r="H522" t="str">
        <f t="shared" si="52"/>
        <v>Deep Learning</v>
      </c>
      <c r="I522" t="str">
        <f>IF(AND(Sheet1[[#This Row],[Attendance ]]&gt;65,Sheet1[[#This Row],[Attendance ]]&lt;75),"Yes","No")</f>
        <v>No</v>
      </c>
      <c r="J522" t="str">
        <f>IF(Sheet1[[#This Row],[Attendance ]]&lt;65,"Yes","No")</f>
        <v>Yes</v>
      </c>
    </row>
    <row r="523" spans="1:12" hidden="1" x14ac:dyDescent="0.35">
      <c r="A523" t="s">
        <v>564</v>
      </c>
      <c r="B523" t="s">
        <v>98</v>
      </c>
      <c r="C523" t="s">
        <v>4</v>
      </c>
      <c r="D523">
        <v>96.84</v>
      </c>
      <c r="E523" t="s">
        <v>5</v>
      </c>
      <c r="F523">
        <v>7.52</v>
      </c>
      <c r="G523" t="s">
        <v>26</v>
      </c>
      <c r="H523" t="str">
        <f t="shared" si="52"/>
        <v>Passed</v>
      </c>
      <c r="I523" t="str">
        <f>IF(AND(Sheet1[[#This Row],[Attendance ]]&gt;65,Sheet1[[#This Row],[Attendance ]]&lt;75),"Yes","No")</f>
        <v>No</v>
      </c>
      <c r="J523" t="str">
        <f>IF(Sheet1[[#This Row],[Attendance ]]&lt;65,"Yes","No")</f>
        <v>No</v>
      </c>
    </row>
    <row r="524" spans="1:12" hidden="1" x14ac:dyDescent="0.35">
      <c r="A524" t="s">
        <v>565</v>
      </c>
      <c r="B524" t="s">
        <v>3</v>
      </c>
      <c r="C524" t="s">
        <v>13</v>
      </c>
      <c r="D524">
        <v>62.4</v>
      </c>
      <c r="E524" t="s">
        <v>5</v>
      </c>
      <c r="F524">
        <v>8.33</v>
      </c>
      <c r="G524" t="s">
        <v>26</v>
      </c>
      <c r="H524" t="str">
        <f t="shared" si="52"/>
        <v>Passed</v>
      </c>
      <c r="I524" t="str">
        <f>IF(AND(Sheet1[[#This Row],[Attendance ]]&gt;65,Sheet1[[#This Row],[Attendance ]]&lt;75),"Yes","No")</f>
        <v>No</v>
      </c>
      <c r="J524" t="str">
        <f>IF(Sheet1[[#This Row],[Attendance ]]&lt;65,"Yes","No")</f>
        <v>Yes</v>
      </c>
    </row>
    <row r="525" spans="1:12" hidden="1" x14ac:dyDescent="0.35">
      <c r="A525" t="s">
        <v>566</v>
      </c>
      <c r="B525" t="s">
        <v>63</v>
      </c>
      <c r="C525" t="s">
        <v>20</v>
      </c>
      <c r="D525">
        <v>96.98</v>
      </c>
      <c r="E525" t="s">
        <v>5</v>
      </c>
      <c r="F525">
        <v>7.37</v>
      </c>
      <c r="G525" t="s">
        <v>28</v>
      </c>
      <c r="H525" t="str">
        <f t="shared" si="52"/>
        <v>Passed</v>
      </c>
      <c r="I525" t="str">
        <f>IF(AND(Sheet1[[#This Row],[Attendance ]]&gt;65,Sheet1[[#This Row],[Attendance ]]&lt;75),"Yes","No")</f>
        <v>No</v>
      </c>
      <c r="J525" t="str">
        <f>IF(Sheet1[[#This Row],[Attendance ]]&lt;65,"Yes","No")</f>
        <v>No</v>
      </c>
    </row>
    <row r="526" spans="1:12" x14ac:dyDescent="0.35">
      <c r="A526" t="s">
        <v>567</v>
      </c>
      <c r="B526" t="s">
        <v>149</v>
      </c>
      <c r="C526" t="s">
        <v>20</v>
      </c>
      <c r="D526">
        <v>69.45</v>
      </c>
      <c r="E526" t="s">
        <v>10</v>
      </c>
      <c r="F526">
        <v>6.35</v>
      </c>
      <c r="G526" t="s">
        <v>26</v>
      </c>
      <c r="H526" t="str">
        <f t="shared" si="52"/>
        <v>Deep Learning</v>
      </c>
      <c r="I526" t="str">
        <f>IF(AND(Sheet1[[#This Row],[Attendance ]]&gt;65,Sheet1[[#This Row],[Attendance ]]&lt;75),"Yes","No")</f>
        <v>Yes</v>
      </c>
      <c r="J526" t="str">
        <f>IF(Sheet1[[#This Row],[Attendance ]]&lt;65,"Yes","No")</f>
        <v>No</v>
      </c>
      <c r="K526" t="str">
        <f>CHOOSE(MOD(ROW()-2,8)+1,
"Kadapa",
"Ananthapur",
"Rayachoti",
"Nellore",
"Chittoor",
"Madanapalli",
"Rajampeta",
"Tirupati")</f>
        <v>Chittoor</v>
      </c>
      <c r="L526" t="str">
        <f>IF(AND(G524="4th Year",E524="Pass",F524&gt;=7),"Yes","No")</f>
        <v>Yes</v>
      </c>
    </row>
    <row r="527" spans="1:12" hidden="1" x14ac:dyDescent="0.35">
      <c r="A527" t="s">
        <v>568</v>
      </c>
      <c r="B527" t="s">
        <v>51</v>
      </c>
      <c r="C527" t="s">
        <v>9</v>
      </c>
      <c r="D527">
        <v>75.34</v>
      </c>
      <c r="E527" t="s">
        <v>5</v>
      </c>
      <c r="F527">
        <v>9.59</v>
      </c>
      <c r="G527" t="s">
        <v>28</v>
      </c>
      <c r="H527" t="str">
        <f t="shared" si="52"/>
        <v>Passed</v>
      </c>
      <c r="I527" t="str">
        <f>IF(AND(Sheet1[[#This Row],[Attendance ]]&gt;65,Sheet1[[#This Row],[Attendance ]]&lt;75),"Yes","No")</f>
        <v>No</v>
      </c>
      <c r="J527" t="str">
        <f>IF(Sheet1[[#This Row],[Attendance ]]&lt;65,"Yes","No")</f>
        <v>No</v>
      </c>
    </row>
    <row r="528" spans="1:12" x14ac:dyDescent="0.35">
      <c r="A528" t="s">
        <v>569</v>
      </c>
      <c r="B528" t="s">
        <v>103</v>
      </c>
      <c r="C528" t="s">
        <v>9</v>
      </c>
      <c r="D528">
        <v>69.819999999999993</v>
      </c>
      <c r="E528" t="s">
        <v>5</v>
      </c>
      <c r="F528">
        <v>8.9</v>
      </c>
      <c r="G528" t="s">
        <v>28</v>
      </c>
      <c r="H528" t="str">
        <f t="shared" si="52"/>
        <v>Passed</v>
      </c>
      <c r="I528" t="str">
        <f>IF(AND(Sheet1[[#This Row],[Attendance ]]&gt;65,Sheet1[[#This Row],[Attendance ]]&lt;75),"Yes","No")</f>
        <v>Yes</v>
      </c>
      <c r="J528" t="str">
        <f>IF(Sheet1[[#This Row],[Attendance ]]&lt;65,"Yes","No")</f>
        <v>No</v>
      </c>
      <c r="K528" t="str">
        <f>CHOOSE(MOD(ROW()-2,8)+1,
"Kadapa",
"Ananthapur",
"Rayachoti",
"Nellore",
"Chittoor",
"Madanapalli",
"Rajampeta",
"Tirupati")</f>
        <v>Rajampeta</v>
      </c>
      <c r="L528" t="str">
        <f>IF(AND(G526="4th Year",E526="Pass",F526&gt;=7),"Yes","No")</f>
        <v>No</v>
      </c>
    </row>
    <row r="529" spans="1:12" hidden="1" x14ac:dyDescent="0.35">
      <c r="A529" t="s">
        <v>570</v>
      </c>
      <c r="B529" t="s">
        <v>51</v>
      </c>
      <c r="C529" t="s">
        <v>13</v>
      </c>
      <c r="D529">
        <v>85.36</v>
      </c>
      <c r="E529" t="s">
        <v>5</v>
      </c>
      <c r="F529">
        <v>7.99</v>
      </c>
      <c r="G529" t="s">
        <v>28</v>
      </c>
      <c r="H529" t="str">
        <f t="shared" si="52"/>
        <v>Passed</v>
      </c>
      <c r="I529" t="str">
        <f>IF(AND(Sheet1[[#This Row],[Attendance ]]&gt;65,Sheet1[[#This Row],[Attendance ]]&lt;75),"Yes","No")</f>
        <v>No</v>
      </c>
      <c r="J529" t="str">
        <f>IF(Sheet1[[#This Row],[Attendance ]]&lt;65,"Yes","No")</f>
        <v>No</v>
      </c>
    </row>
    <row r="530" spans="1:12" hidden="1" x14ac:dyDescent="0.35">
      <c r="A530" t="s">
        <v>571</v>
      </c>
      <c r="B530" t="s">
        <v>37</v>
      </c>
      <c r="C530" t="s">
        <v>9</v>
      </c>
      <c r="D530">
        <v>80.92</v>
      </c>
      <c r="E530" t="s">
        <v>5</v>
      </c>
      <c r="F530">
        <v>5.39</v>
      </c>
      <c r="G530" t="s">
        <v>26</v>
      </c>
      <c r="H530" t="str">
        <f t="shared" si="52"/>
        <v>Passed</v>
      </c>
      <c r="I530" t="str">
        <f>IF(AND(Sheet1[[#This Row],[Attendance ]]&gt;65,Sheet1[[#This Row],[Attendance ]]&lt;75),"Yes","No")</f>
        <v>No</v>
      </c>
      <c r="J530" t="str">
        <f>IF(Sheet1[[#This Row],[Attendance ]]&lt;65,"Yes","No")</f>
        <v>No</v>
      </c>
    </row>
    <row r="531" spans="1:12" hidden="1" x14ac:dyDescent="0.35">
      <c r="A531" t="s">
        <v>572</v>
      </c>
      <c r="B531" t="s">
        <v>116</v>
      </c>
      <c r="C531" t="s">
        <v>35</v>
      </c>
      <c r="D531">
        <v>91.82</v>
      </c>
      <c r="E531" t="s">
        <v>5</v>
      </c>
      <c r="F531">
        <v>7.54</v>
      </c>
      <c r="G531" t="s">
        <v>6</v>
      </c>
      <c r="H531" t="str">
        <f t="shared" si="52"/>
        <v>Passed</v>
      </c>
      <c r="I531" t="str">
        <f>IF(AND(Sheet1[[#This Row],[Attendance ]]&gt;65,Sheet1[[#This Row],[Attendance ]]&lt;75),"Yes","No")</f>
        <v>No</v>
      </c>
      <c r="J531" t="str">
        <f>IF(Sheet1[[#This Row],[Attendance ]]&lt;65,"Yes","No")</f>
        <v>No</v>
      </c>
    </row>
    <row r="532" spans="1:12" hidden="1" x14ac:dyDescent="0.35">
      <c r="A532" t="s">
        <v>573</v>
      </c>
      <c r="B532" t="s">
        <v>43</v>
      </c>
      <c r="C532" t="s">
        <v>13</v>
      </c>
      <c r="D532">
        <v>99.01</v>
      </c>
      <c r="E532" t="s">
        <v>5</v>
      </c>
      <c r="F532">
        <v>7.87</v>
      </c>
      <c r="G532" t="s">
        <v>11</v>
      </c>
      <c r="H532" t="str">
        <f t="shared" si="52"/>
        <v>Passed</v>
      </c>
      <c r="I532" t="str">
        <f>IF(AND(Sheet1[[#This Row],[Attendance ]]&gt;65,Sheet1[[#This Row],[Attendance ]]&lt;75),"Yes","No")</f>
        <v>No</v>
      </c>
      <c r="J532" t="str">
        <f>IF(Sheet1[[#This Row],[Attendance ]]&lt;65,"Yes","No")</f>
        <v>No</v>
      </c>
    </row>
    <row r="533" spans="1:12" hidden="1" x14ac:dyDescent="0.35">
      <c r="A533" t="s">
        <v>574</v>
      </c>
      <c r="B533" t="s">
        <v>107</v>
      </c>
      <c r="C533" t="s">
        <v>35</v>
      </c>
      <c r="D533">
        <v>89.26</v>
      </c>
      <c r="E533" t="s">
        <v>5</v>
      </c>
      <c r="F533">
        <v>5.7</v>
      </c>
      <c r="G533" t="s">
        <v>26</v>
      </c>
      <c r="H533" t="str">
        <f t="shared" si="52"/>
        <v>Passed</v>
      </c>
      <c r="I533" t="str">
        <f>IF(AND(Sheet1[[#This Row],[Attendance ]]&gt;65,Sheet1[[#This Row],[Attendance ]]&lt;75),"Yes","No")</f>
        <v>No</v>
      </c>
      <c r="J533" t="str">
        <f>IF(Sheet1[[#This Row],[Attendance ]]&lt;65,"Yes","No")</f>
        <v>No</v>
      </c>
    </row>
    <row r="534" spans="1:12" hidden="1" x14ac:dyDescent="0.35">
      <c r="A534" t="s">
        <v>575</v>
      </c>
      <c r="B534" t="s">
        <v>110</v>
      </c>
      <c r="C534" t="s">
        <v>9</v>
      </c>
      <c r="D534">
        <v>86.29</v>
      </c>
      <c r="E534" t="s">
        <v>5</v>
      </c>
      <c r="F534">
        <v>9.06</v>
      </c>
      <c r="G534" t="s">
        <v>26</v>
      </c>
      <c r="H534" t="str">
        <f t="shared" si="52"/>
        <v>Passed</v>
      </c>
      <c r="I534" t="str">
        <f>IF(AND(Sheet1[[#This Row],[Attendance ]]&gt;65,Sheet1[[#This Row],[Attendance ]]&lt;75),"Yes","No")</f>
        <v>No</v>
      </c>
      <c r="J534" t="str">
        <f>IF(Sheet1[[#This Row],[Attendance ]]&lt;65,"Yes","No")</f>
        <v>No</v>
      </c>
    </row>
    <row r="535" spans="1:12" hidden="1" x14ac:dyDescent="0.35">
      <c r="A535" t="s">
        <v>576</v>
      </c>
      <c r="B535" t="s">
        <v>43</v>
      </c>
      <c r="C535" t="s">
        <v>20</v>
      </c>
      <c r="D535">
        <v>64.819999999999993</v>
      </c>
      <c r="E535" t="s">
        <v>5</v>
      </c>
      <c r="F535">
        <v>5.63</v>
      </c>
      <c r="G535" t="s">
        <v>6</v>
      </c>
      <c r="H535" t="str">
        <f t="shared" si="52"/>
        <v>Passed</v>
      </c>
      <c r="I535" t="str">
        <f>IF(AND(Sheet1[[#This Row],[Attendance ]]&gt;65,Sheet1[[#This Row],[Attendance ]]&lt;75),"Yes","No")</f>
        <v>No</v>
      </c>
      <c r="J535" t="str">
        <f>IF(Sheet1[[#This Row],[Attendance ]]&lt;65,"Yes","No")</f>
        <v>Yes</v>
      </c>
    </row>
    <row r="536" spans="1:12" hidden="1" x14ac:dyDescent="0.35">
      <c r="A536" t="s">
        <v>577</v>
      </c>
      <c r="B536" t="s">
        <v>22</v>
      </c>
      <c r="C536" t="s">
        <v>23</v>
      </c>
      <c r="D536">
        <v>88.53</v>
      </c>
      <c r="E536" t="s">
        <v>5</v>
      </c>
      <c r="F536">
        <v>6.23</v>
      </c>
      <c r="G536" t="s">
        <v>6</v>
      </c>
      <c r="H536" t="str">
        <f t="shared" si="52"/>
        <v>Passed</v>
      </c>
      <c r="I536" t="str">
        <f>IF(AND(Sheet1[[#This Row],[Attendance ]]&gt;65,Sheet1[[#This Row],[Attendance ]]&lt;75),"Yes","No")</f>
        <v>No</v>
      </c>
      <c r="J536" t="str">
        <f>IF(Sheet1[[#This Row],[Attendance ]]&lt;65,"Yes","No")</f>
        <v>No</v>
      </c>
    </row>
    <row r="537" spans="1:12" hidden="1" x14ac:dyDescent="0.35">
      <c r="A537" t="s">
        <v>578</v>
      </c>
      <c r="B537" t="s">
        <v>110</v>
      </c>
      <c r="C537" t="s">
        <v>35</v>
      </c>
      <c r="D537">
        <v>60.05</v>
      </c>
      <c r="E537" t="s">
        <v>5</v>
      </c>
      <c r="F537">
        <v>5.37</v>
      </c>
      <c r="G537" t="s">
        <v>28</v>
      </c>
      <c r="H537" t="str">
        <f t="shared" si="52"/>
        <v>Passed</v>
      </c>
      <c r="I537" t="str">
        <f>IF(AND(Sheet1[[#This Row],[Attendance ]]&gt;65,Sheet1[[#This Row],[Attendance ]]&lt;75),"Yes","No")</f>
        <v>No</v>
      </c>
      <c r="J537" t="str">
        <f>IF(Sheet1[[#This Row],[Attendance ]]&lt;65,"Yes","No")</f>
        <v>Yes</v>
      </c>
    </row>
    <row r="538" spans="1:12" hidden="1" x14ac:dyDescent="0.35">
      <c r="A538" t="s">
        <v>579</v>
      </c>
      <c r="B538" t="s">
        <v>110</v>
      </c>
      <c r="C538" t="s">
        <v>20</v>
      </c>
      <c r="D538">
        <v>92.46</v>
      </c>
      <c r="E538" t="s">
        <v>5</v>
      </c>
      <c r="F538">
        <v>9.64</v>
      </c>
      <c r="G538" t="s">
        <v>11</v>
      </c>
      <c r="H538" t="str">
        <f t="shared" si="52"/>
        <v>Passed</v>
      </c>
      <c r="I538" t="str">
        <f>IF(AND(Sheet1[[#This Row],[Attendance ]]&gt;65,Sheet1[[#This Row],[Attendance ]]&lt;75),"Yes","No")</f>
        <v>No</v>
      </c>
      <c r="J538" t="str">
        <f>IF(Sheet1[[#This Row],[Attendance ]]&lt;65,"Yes","No")</f>
        <v>No</v>
      </c>
    </row>
    <row r="539" spans="1:12" x14ac:dyDescent="0.35">
      <c r="A539" t="s">
        <v>580</v>
      </c>
      <c r="B539" t="s">
        <v>88</v>
      </c>
      <c r="C539" t="s">
        <v>13</v>
      </c>
      <c r="D539">
        <v>72.459999999999994</v>
      </c>
      <c r="E539" t="s">
        <v>5</v>
      </c>
      <c r="F539">
        <v>8.24</v>
      </c>
      <c r="G539" t="s">
        <v>26</v>
      </c>
      <c r="H539" t="str">
        <f t="shared" si="52"/>
        <v>Passed</v>
      </c>
      <c r="I539" t="str">
        <f>IF(AND(Sheet1[[#This Row],[Attendance ]]&gt;65,Sheet1[[#This Row],[Attendance ]]&lt;75),"Yes","No")</f>
        <v>Yes</v>
      </c>
      <c r="J539" t="str">
        <f>IF(Sheet1[[#This Row],[Attendance ]]&lt;65,"Yes","No")</f>
        <v>No</v>
      </c>
      <c r="K539" t="str">
        <f>CHOOSE(MOD(ROW()-2,8)+1,
"Kadapa",
"Ananthapur",
"Rayachoti",
"Nellore",
"Chittoor",
"Madanapalli",
"Rajampeta",
"Tirupati")</f>
        <v>Ananthapur</v>
      </c>
      <c r="L539" t="str">
        <f>IF(AND(G537="4th Year",E537="Pass",F537&gt;=7),"Yes","No")</f>
        <v>No</v>
      </c>
    </row>
    <row r="540" spans="1:12" hidden="1" x14ac:dyDescent="0.35">
      <c r="A540" t="s">
        <v>581</v>
      </c>
      <c r="B540" t="s">
        <v>61</v>
      </c>
      <c r="C540" t="s">
        <v>4</v>
      </c>
      <c r="D540">
        <v>86.54</v>
      </c>
      <c r="E540" t="s">
        <v>5</v>
      </c>
      <c r="F540">
        <v>8.25</v>
      </c>
      <c r="G540" t="s">
        <v>28</v>
      </c>
      <c r="H540" t="str">
        <f t="shared" si="52"/>
        <v>Passed</v>
      </c>
      <c r="I540" t="str">
        <f>IF(AND(Sheet1[[#This Row],[Attendance ]]&gt;65,Sheet1[[#This Row],[Attendance ]]&lt;75),"Yes","No")</f>
        <v>No</v>
      </c>
      <c r="J540" t="str">
        <f>IF(Sheet1[[#This Row],[Attendance ]]&lt;65,"Yes","No")</f>
        <v>No</v>
      </c>
    </row>
    <row r="541" spans="1:12" hidden="1" x14ac:dyDescent="0.35">
      <c r="A541" t="s">
        <v>582</v>
      </c>
      <c r="B541" t="s">
        <v>63</v>
      </c>
      <c r="C541" t="s">
        <v>23</v>
      </c>
      <c r="D541">
        <v>87.4</v>
      </c>
      <c r="E541" t="s">
        <v>5</v>
      </c>
      <c r="F541">
        <v>6.47</v>
      </c>
      <c r="G541" t="s">
        <v>26</v>
      </c>
      <c r="H541" t="str">
        <f t="shared" si="52"/>
        <v>Passed</v>
      </c>
      <c r="I541" t="str">
        <f>IF(AND(Sheet1[[#This Row],[Attendance ]]&gt;65,Sheet1[[#This Row],[Attendance ]]&lt;75),"Yes","No")</f>
        <v>No</v>
      </c>
      <c r="J541" t="str">
        <f>IF(Sheet1[[#This Row],[Attendance ]]&lt;65,"Yes","No")</f>
        <v>No</v>
      </c>
    </row>
    <row r="542" spans="1:12" hidden="1" x14ac:dyDescent="0.35">
      <c r="A542" t="s">
        <v>583</v>
      </c>
      <c r="B542" t="s">
        <v>164</v>
      </c>
      <c r="C542" t="s">
        <v>23</v>
      </c>
      <c r="D542">
        <v>99.65</v>
      </c>
      <c r="E542" t="s">
        <v>10</v>
      </c>
      <c r="F542">
        <v>6.5</v>
      </c>
      <c r="G542" t="s">
        <v>26</v>
      </c>
      <c r="H542" t="str">
        <f t="shared" si="52"/>
        <v>Deep Learning</v>
      </c>
      <c r="I542" t="str">
        <f>IF(AND(Sheet1[[#This Row],[Attendance ]]&gt;65,Sheet1[[#This Row],[Attendance ]]&lt;75),"Yes","No")</f>
        <v>No</v>
      </c>
      <c r="J542" t="str">
        <f>IF(Sheet1[[#This Row],[Attendance ]]&lt;65,"Yes","No")</f>
        <v>No</v>
      </c>
    </row>
    <row r="543" spans="1:12" hidden="1" x14ac:dyDescent="0.35">
      <c r="A543" t="s">
        <v>584</v>
      </c>
      <c r="B543" t="s">
        <v>63</v>
      </c>
      <c r="C543" t="s">
        <v>9</v>
      </c>
      <c r="D543">
        <v>84.44</v>
      </c>
      <c r="E543" t="s">
        <v>5</v>
      </c>
      <c r="F543">
        <v>7.17</v>
      </c>
      <c r="G543" t="s">
        <v>28</v>
      </c>
      <c r="H543" t="str">
        <f t="shared" si="52"/>
        <v>Passed</v>
      </c>
      <c r="I543" t="str">
        <f>IF(AND(Sheet1[[#This Row],[Attendance ]]&gt;65,Sheet1[[#This Row],[Attendance ]]&lt;75),"Yes","No")</f>
        <v>No</v>
      </c>
      <c r="J543" t="str">
        <f>IF(Sheet1[[#This Row],[Attendance ]]&lt;65,"Yes","No")</f>
        <v>No</v>
      </c>
    </row>
    <row r="544" spans="1:12" hidden="1" x14ac:dyDescent="0.35">
      <c r="A544" t="s">
        <v>585</v>
      </c>
      <c r="B544" t="s">
        <v>32</v>
      </c>
      <c r="C544" t="s">
        <v>9</v>
      </c>
      <c r="D544">
        <v>80.02</v>
      </c>
      <c r="E544" t="s">
        <v>5</v>
      </c>
      <c r="F544">
        <v>9.16</v>
      </c>
      <c r="G544" t="s">
        <v>11</v>
      </c>
      <c r="H544" t="str">
        <f t="shared" si="52"/>
        <v>Passed</v>
      </c>
      <c r="I544" t="str">
        <f>IF(AND(Sheet1[[#This Row],[Attendance ]]&gt;65,Sheet1[[#This Row],[Attendance ]]&lt;75),"Yes","No")</f>
        <v>No</v>
      </c>
      <c r="J544" t="str">
        <f>IF(Sheet1[[#This Row],[Attendance ]]&lt;65,"Yes","No")</f>
        <v>No</v>
      </c>
    </row>
    <row r="545" spans="1:12" hidden="1" x14ac:dyDescent="0.35">
      <c r="A545" t="s">
        <v>586</v>
      </c>
      <c r="B545" t="s">
        <v>116</v>
      </c>
      <c r="C545" t="s">
        <v>35</v>
      </c>
      <c r="D545">
        <v>98.34</v>
      </c>
      <c r="E545" t="s">
        <v>10</v>
      </c>
      <c r="F545">
        <v>5.56</v>
      </c>
      <c r="G545" t="s">
        <v>11</v>
      </c>
      <c r="H545" t="str">
        <f t="shared" si="52"/>
        <v>M1</v>
      </c>
      <c r="I545" t="str">
        <f>IF(AND(Sheet1[[#This Row],[Attendance ]]&gt;65,Sheet1[[#This Row],[Attendance ]]&lt;75),"Yes","No")</f>
        <v>No</v>
      </c>
      <c r="J545" t="str">
        <f>IF(Sheet1[[#This Row],[Attendance ]]&lt;65,"Yes","No")</f>
        <v>No</v>
      </c>
    </row>
    <row r="546" spans="1:12" hidden="1" x14ac:dyDescent="0.35">
      <c r="A546" t="s">
        <v>587</v>
      </c>
      <c r="B546" t="s">
        <v>3</v>
      </c>
      <c r="C546" t="s">
        <v>20</v>
      </c>
      <c r="D546">
        <v>91.51</v>
      </c>
      <c r="E546" t="s">
        <v>5</v>
      </c>
      <c r="F546">
        <v>8.6</v>
      </c>
      <c r="G546" t="s">
        <v>6</v>
      </c>
      <c r="H546" t="str">
        <f t="shared" si="52"/>
        <v>Passed</v>
      </c>
      <c r="I546" t="str">
        <f>IF(AND(Sheet1[[#This Row],[Attendance ]]&gt;65,Sheet1[[#This Row],[Attendance ]]&lt;75),"Yes","No")</f>
        <v>No</v>
      </c>
      <c r="J546" t="str">
        <f>IF(Sheet1[[#This Row],[Attendance ]]&lt;65,"Yes","No")</f>
        <v>No</v>
      </c>
    </row>
    <row r="547" spans="1:12" hidden="1" x14ac:dyDescent="0.35">
      <c r="A547" t="s">
        <v>588</v>
      </c>
      <c r="B547" t="s">
        <v>43</v>
      </c>
      <c r="C547" t="s">
        <v>20</v>
      </c>
      <c r="D547">
        <v>77.58</v>
      </c>
      <c r="E547" t="s">
        <v>5</v>
      </c>
      <c r="F547">
        <v>6.41</v>
      </c>
      <c r="G547" t="s">
        <v>26</v>
      </c>
      <c r="H547" t="str">
        <f t="shared" si="52"/>
        <v>Passed</v>
      </c>
      <c r="I547" t="str">
        <f>IF(AND(Sheet1[[#This Row],[Attendance ]]&gt;65,Sheet1[[#This Row],[Attendance ]]&lt;75),"Yes","No")</f>
        <v>No</v>
      </c>
      <c r="J547" t="str">
        <f>IF(Sheet1[[#This Row],[Attendance ]]&lt;65,"Yes","No")</f>
        <v>No</v>
      </c>
    </row>
    <row r="548" spans="1:12" hidden="1" x14ac:dyDescent="0.35">
      <c r="A548" t="s">
        <v>589</v>
      </c>
      <c r="B548" t="s">
        <v>103</v>
      </c>
      <c r="C548" t="s">
        <v>20</v>
      </c>
      <c r="D548">
        <v>97.7</v>
      </c>
      <c r="E548" t="s">
        <v>5</v>
      </c>
      <c r="F548">
        <v>8.6300000000000008</v>
      </c>
      <c r="G548" t="s">
        <v>6</v>
      </c>
      <c r="H548" t="str">
        <f t="shared" si="52"/>
        <v>Passed</v>
      </c>
      <c r="I548" t="str">
        <f>IF(AND(Sheet1[[#This Row],[Attendance ]]&gt;65,Sheet1[[#This Row],[Attendance ]]&lt;75),"Yes","No")</f>
        <v>No</v>
      </c>
      <c r="J548" t="str">
        <f>IF(Sheet1[[#This Row],[Attendance ]]&lt;65,"Yes","No")</f>
        <v>No</v>
      </c>
    </row>
    <row r="549" spans="1:12" hidden="1" x14ac:dyDescent="0.35">
      <c r="A549" t="s">
        <v>590</v>
      </c>
      <c r="B549" t="s">
        <v>3</v>
      </c>
      <c r="C549" t="s">
        <v>35</v>
      </c>
      <c r="D549">
        <v>80.33</v>
      </c>
      <c r="E549" t="s">
        <v>5</v>
      </c>
      <c r="F549">
        <v>6.26</v>
      </c>
      <c r="G549" t="s">
        <v>26</v>
      </c>
      <c r="H549" t="str">
        <f t="shared" si="52"/>
        <v>Passed</v>
      </c>
      <c r="I549" t="str">
        <f>IF(AND(Sheet1[[#This Row],[Attendance ]]&gt;65,Sheet1[[#This Row],[Attendance ]]&lt;75),"Yes","No")</f>
        <v>No</v>
      </c>
      <c r="J549" t="str">
        <f>IF(Sheet1[[#This Row],[Attendance ]]&lt;65,"Yes","No")</f>
        <v>No</v>
      </c>
    </row>
    <row r="550" spans="1:12" hidden="1" x14ac:dyDescent="0.35">
      <c r="A550" t="s">
        <v>591</v>
      </c>
      <c r="B550" t="s">
        <v>39</v>
      </c>
      <c r="C550" t="s">
        <v>4</v>
      </c>
      <c r="D550">
        <v>88.95</v>
      </c>
      <c r="E550" t="s">
        <v>5</v>
      </c>
      <c r="F550">
        <v>7.04</v>
      </c>
      <c r="G550" t="s">
        <v>28</v>
      </c>
      <c r="H550" t="str">
        <f t="shared" si="52"/>
        <v>Passed</v>
      </c>
      <c r="I550" t="str">
        <f>IF(AND(Sheet1[[#This Row],[Attendance ]]&gt;65,Sheet1[[#This Row],[Attendance ]]&lt;75),"Yes","No")</f>
        <v>No</v>
      </c>
      <c r="J550" t="str">
        <f>IF(Sheet1[[#This Row],[Attendance ]]&lt;65,"Yes","No")</f>
        <v>No</v>
      </c>
    </row>
    <row r="551" spans="1:12" hidden="1" x14ac:dyDescent="0.35">
      <c r="A551" t="s">
        <v>592</v>
      </c>
      <c r="B551" t="s">
        <v>63</v>
      </c>
      <c r="C551" t="s">
        <v>4</v>
      </c>
      <c r="D551">
        <v>63.63</v>
      </c>
      <c r="E551" t="s">
        <v>5</v>
      </c>
      <c r="F551">
        <v>7.19</v>
      </c>
      <c r="G551" t="s">
        <v>28</v>
      </c>
      <c r="H551" t="str">
        <f t="shared" si="52"/>
        <v>Passed</v>
      </c>
      <c r="I551" t="str">
        <f>IF(AND(Sheet1[[#This Row],[Attendance ]]&gt;65,Sheet1[[#This Row],[Attendance ]]&lt;75),"Yes","No")</f>
        <v>No</v>
      </c>
      <c r="J551" t="str">
        <f>IF(Sheet1[[#This Row],[Attendance ]]&lt;65,"Yes","No")</f>
        <v>Yes</v>
      </c>
    </row>
    <row r="552" spans="1:12" hidden="1" x14ac:dyDescent="0.35">
      <c r="A552" t="s">
        <v>593</v>
      </c>
      <c r="B552" t="s">
        <v>34</v>
      </c>
      <c r="C552" t="s">
        <v>13</v>
      </c>
      <c r="D552">
        <v>64.16</v>
      </c>
      <c r="E552" t="s">
        <v>5</v>
      </c>
      <c r="F552">
        <v>6.91</v>
      </c>
      <c r="G552" t="s">
        <v>11</v>
      </c>
      <c r="H552" t="str">
        <f t="shared" si="52"/>
        <v>Passed</v>
      </c>
      <c r="I552" t="str">
        <f>IF(AND(Sheet1[[#This Row],[Attendance ]]&gt;65,Sheet1[[#This Row],[Attendance ]]&lt;75),"Yes","No")</f>
        <v>No</v>
      </c>
      <c r="J552" t="str">
        <f>IF(Sheet1[[#This Row],[Attendance ]]&lt;65,"Yes","No")</f>
        <v>Yes</v>
      </c>
    </row>
    <row r="553" spans="1:12" x14ac:dyDescent="0.35">
      <c r="A553" t="s">
        <v>594</v>
      </c>
      <c r="B553" t="s">
        <v>45</v>
      </c>
      <c r="C553" t="s">
        <v>13</v>
      </c>
      <c r="D553">
        <v>66.790000000000006</v>
      </c>
      <c r="E553" t="s">
        <v>5</v>
      </c>
      <c r="F553">
        <v>8.5299999999999994</v>
      </c>
      <c r="G553" t="s">
        <v>11</v>
      </c>
      <c r="H553" t="str">
        <f t="shared" si="52"/>
        <v>Passed</v>
      </c>
      <c r="I553" t="str">
        <f>IF(AND(Sheet1[[#This Row],[Attendance ]]&gt;65,Sheet1[[#This Row],[Attendance ]]&lt;75),"Yes","No")</f>
        <v>Yes</v>
      </c>
      <c r="J553" t="str">
        <f>IF(Sheet1[[#This Row],[Attendance ]]&lt;65,"Yes","No")</f>
        <v>No</v>
      </c>
      <c r="K553" t="str">
        <f t="shared" ref="K553:K554" si="53">CHOOSE(MOD(ROW()-2,8)+1,
"Kadapa",
"Ananthapur",
"Rayachoti",
"Nellore",
"Chittoor",
"Madanapalli",
"Rajampeta",
"Tirupati")</f>
        <v>Tirupati</v>
      </c>
      <c r="L553" t="str">
        <f t="shared" ref="L553:L554" si="54">IF(AND(G551="4th Year",E551="Pass",F551&gt;=7),"Yes","No")</f>
        <v>No</v>
      </c>
    </row>
    <row r="554" spans="1:12" x14ac:dyDescent="0.35">
      <c r="A554" t="s">
        <v>595</v>
      </c>
      <c r="B554" t="s">
        <v>25</v>
      </c>
      <c r="C554" t="s">
        <v>20</v>
      </c>
      <c r="D554">
        <v>72.930000000000007</v>
      </c>
      <c r="E554" t="s">
        <v>5</v>
      </c>
      <c r="F554">
        <v>5.65</v>
      </c>
      <c r="G554" t="s">
        <v>6</v>
      </c>
      <c r="H554" t="str">
        <f t="shared" si="52"/>
        <v>Passed</v>
      </c>
      <c r="I554" t="str">
        <f>IF(AND(Sheet1[[#This Row],[Attendance ]]&gt;65,Sheet1[[#This Row],[Attendance ]]&lt;75),"Yes","No")</f>
        <v>Yes</v>
      </c>
      <c r="J554" t="str">
        <f>IF(Sheet1[[#This Row],[Attendance ]]&lt;65,"Yes","No")</f>
        <v>No</v>
      </c>
      <c r="K554" t="str">
        <f t="shared" si="53"/>
        <v>Kadapa</v>
      </c>
      <c r="L554" t="str">
        <f t="shared" si="54"/>
        <v>No</v>
      </c>
    </row>
    <row r="555" spans="1:12" hidden="1" x14ac:dyDescent="0.35">
      <c r="A555" t="s">
        <v>596</v>
      </c>
      <c r="B555" t="s">
        <v>72</v>
      </c>
      <c r="C555" t="s">
        <v>4</v>
      </c>
      <c r="D555">
        <v>79.739999999999995</v>
      </c>
      <c r="E555" t="s">
        <v>5</v>
      </c>
      <c r="F555">
        <v>7.43</v>
      </c>
      <c r="G555" t="s">
        <v>28</v>
      </c>
      <c r="H555" t="str">
        <f t="shared" si="52"/>
        <v>Passed</v>
      </c>
      <c r="I555" t="str">
        <f>IF(AND(Sheet1[[#This Row],[Attendance ]]&gt;65,Sheet1[[#This Row],[Attendance ]]&lt;75),"Yes","No")</f>
        <v>No</v>
      </c>
      <c r="J555" t="str">
        <f>IF(Sheet1[[#This Row],[Attendance ]]&lt;65,"Yes","No")</f>
        <v>No</v>
      </c>
    </row>
    <row r="556" spans="1:12" hidden="1" x14ac:dyDescent="0.35">
      <c r="A556" t="s">
        <v>597</v>
      </c>
      <c r="B556" t="s">
        <v>17</v>
      </c>
      <c r="C556" t="s">
        <v>13</v>
      </c>
      <c r="D556">
        <v>84.75</v>
      </c>
      <c r="E556" t="s">
        <v>5</v>
      </c>
      <c r="F556">
        <v>8.18</v>
      </c>
      <c r="G556" t="s">
        <v>11</v>
      </c>
      <c r="H556" t="str">
        <f t="shared" si="52"/>
        <v>Passed</v>
      </c>
      <c r="I556" t="str">
        <f>IF(AND(Sheet1[[#This Row],[Attendance ]]&gt;65,Sheet1[[#This Row],[Attendance ]]&lt;75),"Yes","No")</f>
        <v>No</v>
      </c>
      <c r="J556" t="str">
        <f>IF(Sheet1[[#This Row],[Attendance ]]&lt;65,"Yes","No")</f>
        <v>No</v>
      </c>
    </row>
    <row r="557" spans="1:12" hidden="1" x14ac:dyDescent="0.35">
      <c r="A557" t="s">
        <v>598</v>
      </c>
      <c r="B557" t="s">
        <v>58</v>
      </c>
      <c r="C557" t="s">
        <v>13</v>
      </c>
      <c r="D557">
        <v>87.76</v>
      </c>
      <c r="E557" t="s">
        <v>5</v>
      </c>
      <c r="F557">
        <v>9.1999999999999993</v>
      </c>
      <c r="G557" t="s">
        <v>6</v>
      </c>
      <c r="H557" t="str">
        <f t="shared" si="52"/>
        <v>Passed</v>
      </c>
      <c r="I557" t="str">
        <f>IF(AND(Sheet1[[#This Row],[Attendance ]]&gt;65,Sheet1[[#This Row],[Attendance ]]&lt;75),"Yes","No")</f>
        <v>No</v>
      </c>
      <c r="J557" t="str">
        <f>IF(Sheet1[[#This Row],[Attendance ]]&lt;65,"Yes","No")</f>
        <v>No</v>
      </c>
    </row>
    <row r="558" spans="1:12" hidden="1" x14ac:dyDescent="0.35">
      <c r="A558" t="s">
        <v>599</v>
      </c>
      <c r="B558" t="s">
        <v>12</v>
      </c>
      <c r="C558" t="s">
        <v>9</v>
      </c>
      <c r="D558">
        <v>60.19</v>
      </c>
      <c r="E558" t="s">
        <v>10</v>
      </c>
      <c r="F558">
        <v>7.02</v>
      </c>
      <c r="G558" t="s">
        <v>6</v>
      </c>
      <c r="H558" t="str">
        <f t="shared" si="52"/>
        <v>DBMS</v>
      </c>
      <c r="I558" t="str">
        <f>IF(AND(Sheet1[[#This Row],[Attendance ]]&gt;65,Sheet1[[#This Row],[Attendance ]]&lt;75),"Yes","No")</f>
        <v>No</v>
      </c>
      <c r="J558" t="str">
        <f>IF(Sheet1[[#This Row],[Attendance ]]&lt;65,"Yes","No")</f>
        <v>Yes</v>
      </c>
    </row>
    <row r="559" spans="1:12" hidden="1" x14ac:dyDescent="0.35">
      <c r="A559" t="s">
        <v>600</v>
      </c>
      <c r="B559" t="s">
        <v>61</v>
      </c>
      <c r="C559" t="s">
        <v>23</v>
      </c>
      <c r="D559">
        <v>87.52</v>
      </c>
      <c r="E559" t="s">
        <v>5</v>
      </c>
      <c r="F559">
        <v>8.39</v>
      </c>
      <c r="G559" t="s">
        <v>28</v>
      </c>
      <c r="H559" t="str">
        <f t="shared" si="52"/>
        <v>Passed</v>
      </c>
      <c r="I559" t="str">
        <f>IF(AND(Sheet1[[#This Row],[Attendance ]]&gt;65,Sheet1[[#This Row],[Attendance ]]&lt;75),"Yes","No")</f>
        <v>No</v>
      </c>
      <c r="J559" t="str">
        <f>IF(Sheet1[[#This Row],[Attendance ]]&lt;65,"Yes","No")</f>
        <v>No</v>
      </c>
    </row>
    <row r="560" spans="1:12" hidden="1" x14ac:dyDescent="0.35">
      <c r="A560" t="s">
        <v>601</v>
      </c>
      <c r="B560" t="s">
        <v>103</v>
      </c>
      <c r="C560" t="s">
        <v>13</v>
      </c>
      <c r="D560">
        <v>91.32</v>
      </c>
      <c r="E560" t="s">
        <v>5</v>
      </c>
      <c r="F560">
        <v>8.73</v>
      </c>
      <c r="G560" t="s">
        <v>28</v>
      </c>
      <c r="H560" t="str">
        <f t="shared" si="52"/>
        <v>Passed</v>
      </c>
      <c r="I560" t="str">
        <f>IF(AND(Sheet1[[#This Row],[Attendance ]]&gt;65,Sheet1[[#This Row],[Attendance ]]&lt;75),"Yes","No")</f>
        <v>No</v>
      </c>
      <c r="J560" t="str">
        <f>IF(Sheet1[[#This Row],[Attendance ]]&lt;65,"Yes","No")</f>
        <v>No</v>
      </c>
    </row>
    <row r="561" spans="1:12" hidden="1" x14ac:dyDescent="0.35">
      <c r="A561" t="s">
        <v>602</v>
      </c>
      <c r="B561" t="s">
        <v>3</v>
      </c>
      <c r="C561" t="s">
        <v>4</v>
      </c>
      <c r="D561">
        <v>79.25</v>
      </c>
      <c r="E561" t="s">
        <v>5</v>
      </c>
      <c r="F561">
        <v>5.89</v>
      </c>
      <c r="G561" t="s">
        <v>28</v>
      </c>
      <c r="H561" t="str">
        <f t="shared" si="52"/>
        <v>Passed</v>
      </c>
      <c r="I561" t="str">
        <f>IF(AND(Sheet1[[#This Row],[Attendance ]]&gt;65,Sheet1[[#This Row],[Attendance ]]&lt;75),"Yes","No")</f>
        <v>No</v>
      </c>
      <c r="J561" t="str">
        <f>IF(Sheet1[[#This Row],[Attendance ]]&lt;65,"Yes","No")</f>
        <v>No</v>
      </c>
    </row>
    <row r="562" spans="1:12" x14ac:dyDescent="0.35">
      <c r="A562" t="s">
        <v>603</v>
      </c>
      <c r="B562" t="s">
        <v>110</v>
      </c>
      <c r="C562" t="s">
        <v>20</v>
      </c>
      <c r="D562">
        <v>70.650000000000006</v>
      </c>
      <c r="E562" t="s">
        <v>5</v>
      </c>
      <c r="F562">
        <v>7.98</v>
      </c>
      <c r="G562" t="s">
        <v>28</v>
      </c>
      <c r="H562" t="str">
        <f t="shared" si="52"/>
        <v>Passed</v>
      </c>
      <c r="I562" t="str">
        <f>IF(AND(Sheet1[[#This Row],[Attendance ]]&gt;65,Sheet1[[#This Row],[Attendance ]]&lt;75),"Yes","No")</f>
        <v>Yes</v>
      </c>
      <c r="J562" t="str">
        <f>IF(Sheet1[[#This Row],[Attendance ]]&lt;65,"Yes","No")</f>
        <v>No</v>
      </c>
      <c r="K562" t="str">
        <f>CHOOSE(MOD(ROW()-2,8)+1,
"Kadapa",
"Ananthapur",
"Rayachoti",
"Nellore",
"Chittoor",
"Madanapalli",
"Rajampeta",
"Tirupati")</f>
        <v>Kadapa</v>
      </c>
      <c r="L562" t="str">
        <f>IF(AND(G560="4th Year",E560="Pass",F560&gt;=7),"Yes","No")</f>
        <v>No</v>
      </c>
    </row>
    <row r="563" spans="1:12" hidden="1" x14ac:dyDescent="0.35">
      <c r="A563" t="s">
        <v>604</v>
      </c>
      <c r="B563" t="s">
        <v>110</v>
      </c>
      <c r="C563" t="s">
        <v>35</v>
      </c>
      <c r="D563">
        <v>83.42</v>
      </c>
      <c r="E563" t="s">
        <v>5</v>
      </c>
      <c r="F563">
        <v>5.43</v>
      </c>
      <c r="G563" t="s">
        <v>11</v>
      </c>
      <c r="H563" t="str">
        <f t="shared" si="52"/>
        <v>Passed</v>
      </c>
      <c r="I563" t="str">
        <f>IF(AND(Sheet1[[#This Row],[Attendance ]]&gt;65,Sheet1[[#This Row],[Attendance ]]&lt;75),"Yes","No")</f>
        <v>No</v>
      </c>
      <c r="J563" t="str">
        <f>IF(Sheet1[[#This Row],[Attendance ]]&lt;65,"Yes","No")</f>
        <v>No</v>
      </c>
    </row>
    <row r="564" spans="1:12" x14ac:dyDescent="0.35">
      <c r="A564" t="s">
        <v>605</v>
      </c>
      <c r="B564" t="s">
        <v>88</v>
      </c>
      <c r="C564" t="s">
        <v>23</v>
      </c>
      <c r="D564">
        <v>72.12</v>
      </c>
      <c r="E564" t="s">
        <v>5</v>
      </c>
      <c r="F564">
        <v>7.88</v>
      </c>
      <c r="G564" t="s">
        <v>26</v>
      </c>
      <c r="H564" t="str">
        <f t="shared" si="52"/>
        <v>Passed</v>
      </c>
      <c r="I564" t="str">
        <f>IF(AND(Sheet1[[#This Row],[Attendance ]]&gt;65,Sheet1[[#This Row],[Attendance ]]&lt;75),"Yes","No")</f>
        <v>Yes</v>
      </c>
      <c r="J564" t="str">
        <f>IF(Sheet1[[#This Row],[Attendance ]]&lt;65,"Yes","No")</f>
        <v>No</v>
      </c>
      <c r="K564" t="str">
        <f t="shared" ref="K564:K565" si="55">CHOOSE(MOD(ROW()-2,8)+1,
"Kadapa",
"Ananthapur",
"Rayachoti",
"Nellore",
"Chittoor",
"Madanapalli",
"Rajampeta",
"Tirupati")</f>
        <v>Rayachoti</v>
      </c>
      <c r="L564" t="str">
        <f t="shared" ref="L564:L565" si="56">IF(AND(G562="4th Year",E562="Pass",F562&gt;=7),"Yes","No")</f>
        <v>No</v>
      </c>
    </row>
    <row r="565" spans="1:12" x14ac:dyDescent="0.35">
      <c r="A565" t="s">
        <v>606</v>
      </c>
      <c r="B565" t="s">
        <v>34</v>
      </c>
      <c r="C565" t="s">
        <v>13</v>
      </c>
      <c r="D565">
        <v>65.92</v>
      </c>
      <c r="E565" t="s">
        <v>5</v>
      </c>
      <c r="F565">
        <v>5.21</v>
      </c>
      <c r="G565" t="s">
        <v>6</v>
      </c>
      <c r="H565" t="str">
        <f t="shared" si="52"/>
        <v>Passed</v>
      </c>
      <c r="I565" t="str">
        <f>IF(AND(Sheet1[[#This Row],[Attendance ]]&gt;65,Sheet1[[#This Row],[Attendance ]]&lt;75),"Yes","No")</f>
        <v>Yes</v>
      </c>
      <c r="J565" t="str">
        <f>IF(Sheet1[[#This Row],[Attendance ]]&lt;65,"Yes","No")</f>
        <v>No</v>
      </c>
      <c r="K565" t="str">
        <f t="shared" si="55"/>
        <v>Nellore</v>
      </c>
      <c r="L565" t="str">
        <f t="shared" si="56"/>
        <v>No</v>
      </c>
    </row>
    <row r="566" spans="1:12" hidden="1" x14ac:dyDescent="0.35">
      <c r="A566" t="s">
        <v>607</v>
      </c>
      <c r="B566" t="s">
        <v>39</v>
      </c>
      <c r="C566" t="s">
        <v>20</v>
      </c>
      <c r="D566">
        <v>84.25</v>
      </c>
      <c r="E566" t="s">
        <v>5</v>
      </c>
      <c r="F566">
        <v>6.33</v>
      </c>
      <c r="G566" t="s">
        <v>6</v>
      </c>
      <c r="H566" t="str">
        <f t="shared" si="52"/>
        <v>Passed</v>
      </c>
      <c r="I566" t="str">
        <f>IF(AND(Sheet1[[#This Row],[Attendance ]]&gt;65,Sheet1[[#This Row],[Attendance ]]&lt;75),"Yes","No")</f>
        <v>No</v>
      </c>
      <c r="J566" t="str">
        <f>IF(Sheet1[[#This Row],[Attendance ]]&lt;65,"Yes","No")</f>
        <v>No</v>
      </c>
    </row>
    <row r="567" spans="1:12" hidden="1" x14ac:dyDescent="0.35">
      <c r="A567" t="s">
        <v>608</v>
      </c>
      <c r="B567" t="s">
        <v>17</v>
      </c>
      <c r="C567" t="s">
        <v>23</v>
      </c>
      <c r="D567">
        <v>85.61</v>
      </c>
      <c r="E567" t="s">
        <v>5</v>
      </c>
      <c r="F567">
        <v>9.43</v>
      </c>
      <c r="G567" t="s">
        <v>26</v>
      </c>
      <c r="H567" t="str">
        <f t="shared" si="52"/>
        <v>Passed</v>
      </c>
      <c r="I567" t="str">
        <f>IF(AND(Sheet1[[#This Row],[Attendance ]]&gt;65,Sheet1[[#This Row],[Attendance ]]&lt;75),"Yes","No")</f>
        <v>No</v>
      </c>
      <c r="J567" t="str">
        <f>IF(Sheet1[[#This Row],[Attendance ]]&lt;65,"Yes","No")</f>
        <v>No</v>
      </c>
    </row>
    <row r="568" spans="1:12" hidden="1" x14ac:dyDescent="0.35">
      <c r="A568" t="s">
        <v>609</v>
      </c>
      <c r="B568" t="s">
        <v>116</v>
      </c>
      <c r="C568" t="s">
        <v>23</v>
      </c>
      <c r="D568">
        <v>96.08</v>
      </c>
      <c r="E568" t="s">
        <v>5</v>
      </c>
      <c r="F568">
        <v>7.77</v>
      </c>
      <c r="G568" t="s">
        <v>28</v>
      </c>
      <c r="H568" t="str">
        <f t="shared" si="52"/>
        <v>Passed</v>
      </c>
      <c r="I568" t="str">
        <f>IF(AND(Sheet1[[#This Row],[Attendance ]]&gt;65,Sheet1[[#This Row],[Attendance ]]&lt;75),"Yes","No")</f>
        <v>No</v>
      </c>
      <c r="J568" t="str">
        <f>IF(Sheet1[[#This Row],[Attendance ]]&lt;65,"Yes","No")</f>
        <v>No</v>
      </c>
    </row>
    <row r="569" spans="1:12" hidden="1" x14ac:dyDescent="0.35">
      <c r="A569" t="s">
        <v>610</v>
      </c>
      <c r="B569" t="s">
        <v>58</v>
      </c>
      <c r="C569" t="s">
        <v>9</v>
      </c>
      <c r="D569">
        <v>87.74</v>
      </c>
      <c r="E569" t="s">
        <v>5</v>
      </c>
      <c r="F569">
        <v>7.51</v>
      </c>
      <c r="G569" t="s">
        <v>11</v>
      </c>
      <c r="H569" t="str">
        <f t="shared" si="52"/>
        <v>Passed</v>
      </c>
      <c r="I569" t="str">
        <f>IF(AND(Sheet1[[#This Row],[Attendance ]]&gt;65,Sheet1[[#This Row],[Attendance ]]&lt;75),"Yes","No")</f>
        <v>No</v>
      </c>
      <c r="J569" t="str">
        <f>IF(Sheet1[[#This Row],[Attendance ]]&lt;65,"Yes","No")</f>
        <v>No</v>
      </c>
    </row>
    <row r="570" spans="1:12" hidden="1" x14ac:dyDescent="0.35">
      <c r="A570" t="s">
        <v>611</v>
      </c>
      <c r="B570" t="s">
        <v>34</v>
      </c>
      <c r="C570" t="s">
        <v>4</v>
      </c>
      <c r="D570">
        <v>76.3</v>
      </c>
      <c r="E570" t="s">
        <v>5</v>
      </c>
      <c r="F570">
        <v>9.36</v>
      </c>
      <c r="G570" t="s">
        <v>26</v>
      </c>
      <c r="H570" t="str">
        <f t="shared" si="52"/>
        <v>Passed</v>
      </c>
      <c r="I570" t="str">
        <f>IF(AND(Sheet1[[#This Row],[Attendance ]]&gt;65,Sheet1[[#This Row],[Attendance ]]&lt;75),"Yes","No")</f>
        <v>No</v>
      </c>
      <c r="J570" t="str">
        <f>IF(Sheet1[[#This Row],[Attendance ]]&lt;65,"Yes","No")</f>
        <v>No</v>
      </c>
    </row>
    <row r="571" spans="1:12" hidden="1" x14ac:dyDescent="0.35">
      <c r="A571" t="s">
        <v>612</v>
      </c>
      <c r="B571" t="s">
        <v>45</v>
      </c>
      <c r="C571" t="s">
        <v>13</v>
      </c>
      <c r="D571">
        <v>78.88</v>
      </c>
      <c r="E571" t="s">
        <v>10</v>
      </c>
      <c r="F571">
        <v>9.3699999999999992</v>
      </c>
      <c r="G571" t="s">
        <v>6</v>
      </c>
      <c r="H571" t="str">
        <f t="shared" si="52"/>
        <v>DBMS</v>
      </c>
      <c r="I571" t="str">
        <f>IF(AND(Sheet1[[#This Row],[Attendance ]]&gt;65,Sheet1[[#This Row],[Attendance ]]&lt;75),"Yes","No")</f>
        <v>No</v>
      </c>
      <c r="J571" t="str">
        <f>IF(Sheet1[[#This Row],[Attendance ]]&lt;65,"Yes","No")</f>
        <v>No</v>
      </c>
    </row>
    <row r="572" spans="1:12" hidden="1" x14ac:dyDescent="0.35">
      <c r="A572" t="s">
        <v>613</v>
      </c>
      <c r="B572" t="s">
        <v>107</v>
      </c>
      <c r="C572" t="s">
        <v>9</v>
      </c>
      <c r="D572">
        <v>77.319999999999993</v>
      </c>
      <c r="E572" t="s">
        <v>5</v>
      </c>
      <c r="F572">
        <v>5.94</v>
      </c>
      <c r="G572" t="s">
        <v>26</v>
      </c>
      <c r="H572" t="str">
        <f t="shared" si="52"/>
        <v>Passed</v>
      </c>
      <c r="I572" t="str">
        <f>IF(AND(Sheet1[[#This Row],[Attendance ]]&gt;65,Sheet1[[#This Row],[Attendance ]]&lt;75),"Yes","No")</f>
        <v>No</v>
      </c>
      <c r="J572" t="str">
        <f>IF(Sheet1[[#This Row],[Attendance ]]&lt;65,"Yes","No")</f>
        <v>No</v>
      </c>
    </row>
    <row r="573" spans="1:12" hidden="1" x14ac:dyDescent="0.35">
      <c r="A573" t="s">
        <v>614</v>
      </c>
      <c r="B573" t="s">
        <v>15</v>
      </c>
      <c r="C573" t="s">
        <v>23</v>
      </c>
      <c r="D573">
        <v>92.99</v>
      </c>
      <c r="E573" t="s">
        <v>5</v>
      </c>
      <c r="F573">
        <v>5.3</v>
      </c>
      <c r="G573" t="s">
        <v>11</v>
      </c>
      <c r="H573" t="str">
        <f t="shared" si="52"/>
        <v>Passed</v>
      </c>
      <c r="I573" t="str">
        <f>IF(AND(Sheet1[[#This Row],[Attendance ]]&gt;65,Sheet1[[#This Row],[Attendance ]]&lt;75),"Yes","No")</f>
        <v>No</v>
      </c>
      <c r="J573" t="str">
        <f>IF(Sheet1[[#This Row],[Attendance ]]&lt;65,"Yes","No")</f>
        <v>No</v>
      </c>
    </row>
    <row r="574" spans="1:12" hidden="1" x14ac:dyDescent="0.35">
      <c r="A574" t="s">
        <v>615</v>
      </c>
      <c r="B574" t="s">
        <v>15</v>
      </c>
      <c r="C574" t="s">
        <v>23</v>
      </c>
      <c r="D574">
        <v>99.76</v>
      </c>
      <c r="E574" t="s">
        <v>5</v>
      </c>
      <c r="F574">
        <v>7.52</v>
      </c>
      <c r="G574" t="s">
        <v>28</v>
      </c>
      <c r="H574" t="str">
        <f t="shared" si="52"/>
        <v>Passed</v>
      </c>
      <c r="I574" t="str">
        <f>IF(AND(Sheet1[[#This Row],[Attendance ]]&gt;65,Sheet1[[#This Row],[Attendance ]]&lt;75),"Yes","No")</f>
        <v>No</v>
      </c>
      <c r="J574" t="str">
        <f>IF(Sheet1[[#This Row],[Attendance ]]&lt;65,"Yes","No")</f>
        <v>No</v>
      </c>
    </row>
    <row r="575" spans="1:12" x14ac:dyDescent="0.35">
      <c r="A575" t="s">
        <v>616</v>
      </c>
      <c r="B575" t="s">
        <v>37</v>
      </c>
      <c r="C575" t="s">
        <v>4</v>
      </c>
      <c r="D575">
        <v>68.13</v>
      </c>
      <c r="E575" t="s">
        <v>5</v>
      </c>
      <c r="F575">
        <v>9.4499999999999993</v>
      </c>
      <c r="G575" t="s">
        <v>26</v>
      </c>
      <c r="H575" t="str">
        <f t="shared" si="52"/>
        <v>Passed</v>
      </c>
      <c r="I575" t="str">
        <f>IF(AND(Sheet1[[#This Row],[Attendance ]]&gt;65,Sheet1[[#This Row],[Attendance ]]&lt;75),"Yes","No")</f>
        <v>Yes</v>
      </c>
      <c r="J575" t="str">
        <f>IF(Sheet1[[#This Row],[Attendance ]]&lt;65,"Yes","No")</f>
        <v>No</v>
      </c>
      <c r="K575" t="str">
        <f>CHOOSE(MOD(ROW()-2,8)+1,
"Kadapa",
"Ananthapur",
"Rayachoti",
"Nellore",
"Chittoor",
"Madanapalli",
"Rajampeta",
"Tirupati")</f>
        <v>Madanapalli</v>
      </c>
      <c r="L575" t="str">
        <f>IF(AND(G573="4th Year",E573="Pass",F573&gt;=7),"Yes","No")</f>
        <v>No</v>
      </c>
    </row>
    <row r="576" spans="1:12" hidden="1" x14ac:dyDescent="0.35">
      <c r="A576" t="s">
        <v>617</v>
      </c>
      <c r="B576" t="s">
        <v>149</v>
      </c>
      <c r="C576" t="s">
        <v>20</v>
      </c>
      <c r="D576">
        <v>87.83</v>
      </c>
      <c r="E576" t="s">
        <v>5</v>
      </c>
      <c r="F576">
        <v>5.23</v>
      </c>
      <c r="G576" t="s">
        <v>11</v>
      </c>
      <c r="H576" t="str">
        <f t="shared" si="52"/>
        <v>Passed</v>
      </c>
      <c r="I576" t="str">
        <f>IF(AND(Sheet1[[#This Row],[Attendance ]]&gt;65,Sheet1[[#This Row],[Attendance ]]&lt;75),"Yes","No")</f>
        <v>No</v>
      </c>
      <c r="J576" t="str">
        <f>IF(Sheet1[[#This Row],[Attendance ]]&lt;65,"Yes","No")</f>
        <v>No</v>
      </c>
    </row>
    <row r="577" spans="1:12" hidden="1" x14ac:dyDescent="0.35">
      <c r="A577" t="s">
        <v>618</v>
      </c>
      <c r="B577" t="s">
        <v>103</v>
      </c>
      <c r="C577" t="s">
        <v>4</v>
      </c>
      <c r="D577">
        <v>96.81</v>
      </c>
      <c r="E577" t="s">
        <v>5</v>
      </c>
      <c r="F577">
        <v>8.67</v>
      </c>
      <c r="G577" t="s">
        <v>28</v>
      </c>
      <c r="H577" t="str">
        <f t="shared" si="52"/>
        <v>Passed</v>
      </c>
      <c r="I577" t="str">
        <f>IF(AND(Sheet1[[#This Row],[Attendance ]]&gt;65,Sheet1[[#This Row],[Attendance ]]&lt;75),"Yes","No")</f>
        <v>No</v>
      </c>
      <c r="J577" t="str">
        <f>IF(Sheet1[[#This Row],[Attendance ]]&lt;65,"Yes","No")</f>
        <v>No</v>
      </c>
    </row>
    <row r="578" spans="1:12" hidden="1" x14ac:dyDescent="0.35">
      <c r="A578" t="s">
        <v>619</v>
      </c>
      <c r="B578" t="s">
        <v>72</v>
      </c>
      <c r="C578" t="s">
        <v>4</v>
      </c>
      <c r="D578">
        <v>86.14</v>
      </c>
      <c r="E578" t="s">
        <v>5</v>
      </c>
      <c r="F578">
        <v>9.36</v>
      </c>
      <c r="G578" t="s">
        <v>28</v>
      </c>
      <c r="H578" t="str">
        <f t="shared" ref="H578:H641" si="57">IF(E578="Pass","Passed",
IF(G578="1st Year","M1",
IF(G578="2nd Year","DBMS",
IF(G578="3rd Year","Machine Learning",
IF(G578="4th Year","Deep Learning","")))))</f>
        <v>Passed</v>
      </c>
      <c r="I578" t="str">
        <f>IF(AND(Sheet1[[#This Row],[Attendance ]]&gt;65,Sheet1[[#This Row],[Attendance ]]&lt;75),"Yes","No")</f>
        <v>No</v>
      </c>
      <c r="J578" t="str">
        <f>IF(Sheet1[[#This Row],[Attendance ]]&lt;65,"Yes","No")</f>
        <v>No</v>
      </c>
    </row>
    <row r="579" spans="1:12" hidden="1" x14ac:dyDescent="0.35">
      <c r="A579" t="s">
        <v>620</v>
      </c>
      <c r="B579" t="s">
        <v>30</v>
      </c>
      <c r="C579" t="s">
        <v>20</v>
      </c>
      <c r="D579">
        <v>60.08</v>
      </c>
      <c r="E579" t="s">
        <v>5</v>
      </c>
      <c r="F579">
        <v>5.13</v>
      </c>
      <c r="G579" t="s">
        <v>6</v>
      </c>
      <c r="H579" t="str">
        <f t="shared" si="57"/>
        <v>Passed</v>
      </c>
      <c r="I579" t="str">
        <f>IF(AND(Sheet1[[#This Row],[Attendance ]]&gt;65,Sheet1[[#This Row],[Attendance ]]&lt;75),"Yes","No")</f>
        <v>No</v>
      </c>
      <c r="J579" t="str">
        <f>IF(Sheet1[[#This Row],[Attendance ]]&lt;65,"Yes","No")</f>
        <v>Yes</v>
      </c>
    </row>
    <row r="580" spans="1:12" hidden="1" x14ac:dyDescent="0.35">
      <c r="A580" t="s">
        <v>621</v>
      </c>
      <c r="B580" t="s">
        <v>37</v>
      </c>
      <c r="C580" t="s">
        <v>20</v>
      </c>
      <c r="D580">
        <v>86.44</v>
      </c>
      <c r="E580" t="s">
        <v>5</v>
      </c>
      <c r="F580">
        <v>8.76</v>
      </c>
      <c r="G580" t="s">
        <v>26</v>
      </c>
      <c r="H580" t="str">
        <f t="shared" si="57"/>
        <v>Passed</v>
      </c>
      <c r="I580" t="str">
        <f>IF(AND(Sheet1[[#This Row],[Attendance ]]&gt;65,Sheet1[[#This Row],[Attendance ]]&lt;75),"Yes","No")</f>
        <v>No</v>
      </c>
      <c r="J580" t="str">
        <f>IF(Sheet1[[#This Row],[Attendance ]]&lt;65,"Yes","No")</f>
        <v>No</v>
      </c>
    </row>
    <row r="581" spans="1:12" hidden="1" x14ac:dyDescent="0.35">
      <c r="A581" t="s">
        <v>622</v>
      </c>
      <c r="B581" t="s">
        <v>63</v>
      </c>
      <c r="C581" t="s">
        <v>4</v>
      </c>
      <c r="D581">
        <v>88.4</v>
      </c>
      <c r="E581" t="s">
        <v>5</v>
      </c>
      <c r="F581">
        <v>7.8</v>
      </c>
      <c r="G581" t="s">
        <v>11</v>
      </c>
      <c r="H581" t="str">
        <f t="shared" si="57"/>
        <v>Passed</v>
      </c>
      <c r="I581" t="str">
        <f>IF(AND(Sheet1[[#This Row],[Attendance ]]&gt;65,Sheet1[[#This Row],[Attendance ]]&lt;75),"Yes","No")</f>
        <v>No</v>
      </c>
      <c r="J581" t="str">
        <f>IF(Sheet1[[#This Row],[Attendance ]]&lt;65,"Yes","No")</f>
        <v>No</v>
      </c>
    </row>
    <row r="582" spans="1:12" hidden="1" x14ac:dyDescent="0.35">
      <c r="A582" t="s">
        <v>623</v>
      </c>
      <c r="B582" t="s">
        <v>3</v>
      </c>
      <c r="C582" t="s">
        <v>13</v>
      </c>
      <c r="D582">
        <v>99.9</v>
      </c>
      <c r="E582" t="s">
        <v>5</v>
      </c>
      <c r="F582">
        <v>7.24</v>
      </c>
      <c r="G582" t="s">
        <v>11</v>
      </c>
      <c r="H582" t="str">
        <f t="shared" si="57"/>
        <v>Passed</v>
      </c>
      <c r="I582" t="str">
        <f>IF(AND(Sheet1[[#This Row],[Attendance ]]&gt;65,Sheet1[[#This Row],[Attendance ]]&lt;75),"Yes","No")</f>
        <v>No</v>
      </c>
      <c r="J582" t="str">
        <f>IF(Sheet1[[#This Row],[Attendance ]]&lt;65,"Yes","No")</f>
        <v>No</v>
      </c>
    </row>
    <row r="583" spans="1:12" hidden="1" x14ac:dyDescent="0.35">
      <c r="A583" t="s">
        <v>624</v>
      </c>
      <c r="B583" t="s">
        <v>110</v>
      </c>
      <c r="C583" t="s">
        <v>4</v>
      </c>
      <c r="D583">
        <v>61.18</v>
      </c>
      <c r="E583" t="s">
        <v>5</v>
      </c>
      <c r="F583">
        <v>5.71</v>
      </c>
      <c r="G583" t="s">
        <v>26</v>
      </c>
      <c r="H583" t="str">
        <f t="shared" si="57"/>
        <v>Passed</v>
      </c>
      <c r="I583" t="str">
        <f>IF(AND(Sheet1[[#This Row],[Attendance ]]&gt;65,Sheet1[[#This Row],[Attendance ]]&lt;75),"Yes","No")</f>
        <v>No</v>
      </c>
      <c r="J583" t="str">
        <f>IF(Sheet1[[#This Row],[Attendance ]]&lt;65,"Yes","No")</f>
        <v>Yes</v>
      </c>
    </row>
    <row r="584" spans="1:12" x14ac:dyDescent="0.35">
      <c r="A584" t="s">
        <v>625</v>
      </c>
      <c r="B584" t="s">
        <v>98</v>
      </c>
      <c r="C584" t="s">
        <v>13</v>
      </c>
      <c r="D584">
        <v>67.11</v>
      </c>
      <c r="E584" t="s">
        <v>10</v>
      </c>
      <c r="F584">
        <v>9.31</v>
      </c>
      <c r="G584" t="s">
        <v>28</v>
      </c>
      <c r="H584" t="str">
        <f t="shared" si="57"/>
        <v>Machine Learning</v>
      </c>
      <c r="I584" t="str">
        <f>IF(AND(Sheet1[[#This Row],[Attendance ]]&gt;65,Sheet1[[#This Row],[Attendance ]]&lt;75),"Yes","No")</f>
        <v>Yes</v>
      </c>
      <c r="J584" t="str">
        <f>IF(Sheet1[[#This Row],[Attendance ]]&lt;65,"Yes","No")</f>
        <v>No</v>
      </c>
      <c r="K584" t="str">
        <f>CHOOSE(MOD(ROW()-2,8)+1,
"Kadapa",
"Ananthapur",
"Rayachoti",
"Nellore",
"Chittoor",
"Madanapalli",
"Rajampeta",
"Tirupati")</f>
        <v>Rajampeta</v>
      </c>
      <c r="L584" t="str">
        <f>IF(AND(G582="4th Year",E582="Pass",F582&gt;=7),"Yes","No")</f>
        <v>No</v>
      </c>
    </row>
    <row r="585" spans="1:12" hidden="1" x14ac:dyDescent="0.35">
      <c r="A585" t="s">
        <v>626</v>
      </c>
      <c r="B585" t="s">
        <v>37</v>
      </c>
      <c r="C585" t="s">
        <v>20</v>
      </c>
      <c r="D585">
        <v>79.63</v>
      </c>
      <c r="E585" t="s">
        <v>5</v>
      </c>
      <c r="F585">
        <v>6.18</v>
      </c>
      <c r="G585" t="s">
        <v>28</v>
      </c>
      <c r="H585" t="str">
        <f t="shared" si="57"/>
        <v>Passed</v>
      </c>
      <c r="I585" t="str">
        <f>IF(AND(Sheet1[[#This Row],[Attendance ]]&gt;65,Sheet1[[#This Row],[Attendance ]]&lt;75),"Yes","No")</f>
        <v>No</v>
      </c>
      <c r="J585" t="str">
        <f>IF(Sheet1[[#This Row],[Attendance ]]&lt;65,"Yes","No")</f>
        <v>No</v>
      </c>
    </row>
    <row r="586" spans="1:12" hidden="1" x14ac:dyDescent="0.35">
      <c r="A586" t="s">
        <v>627</v>
      </c>
      <c r="B586" t="s">
        <v>110</v>
      </c>
      <c r="C586" t="s">
        <v>20</v>
      </c>
      <c r="D586">
        <v>92.26</v>
      </c>
      <c r="E586" t="s">
        <v>5</v>
      </c>
      <c r="F586">
        <v>7.16</v>
      </c>
      <c r="G586" t="s">
        <v>6</v>
      </c>
      <c r="H586" t="str">
        <f t="shared" si="57"/>
        <v>Passed</v>
      </c>
      <c r="I586" t="str">
        <f>IF(AND(Sheet1[[#This Row],[Attendance ]]&gt;65,Sheet1[[#This Row],[Attendance ]]&lt;75),"Yes","No")</f>
        <v>No</v>
      </c>
      <c r="J586" t="str">
        <f>IF(Sheet1[[#This Row],[Attendance ]]&lt;65,"Yes","No")</f>
        <v>No</v>
      </c>
    </row>
    <row r="587" spans="1:12" x14ac:dyDescent="0.35">
      <c r="A587" t="s">
        <v>628</v>
      </c>
      <c r="B587" t="s">
        <v>110</v>
      </c>
      <c r="C587" t="s">
        <v>35</v>
      </c>
      <c r="D587">
        <v>69.63</v>
      </c>
      <c r="E587" t="s">
        <v>10</v>
      </c>
      <c r="F587">
        <v>7.6</v>
      </c>
      <c r="G587" t="s">
        <v>26</v>
      </c>
      <c r="H587" t="str">
        <f t="shared" si="57"/>
        <v>Deep Learning</v>
      </c>
      <c r="I587" t="str">
        <f>IF(AND(Sheet1[[#This Row],[Attendance ]]&gt;65,Sheet1[[#This Row],[Attendance ]]&lt;75),"Yes","No")</f>
        <v>Yes</v>
      </c>
      <c r="J587" t="str">
        <f>IF(Sheet1[[#This Row],[Attendance ]]&lt;65,"Yes","No")</f>
        <v>No</v>
      </c>
      <c r="K587" t="str">
        <f>CHOOSE(MOD(ROW()-2,8)+1,
"Kadapa",
"Ananthapur",
"Rayachoti",
"Nellore",
"Chittoor",
"Madanapalli",
"Rajampeta",
"Tirupati")</f>
        <v>Ananthapur</v>
      </c>
      <c r="L587" t="str">
        <f>IF(AND(G585="4th Year",E585="Pass",F585&gt;=7),"Yes","No")</f>
        <v>No</v>
      </c>
    </row>
    <row r="588" spans="1:12" hidden="1" x14ac:dyDescent="0.35">
      <c r="A588" t="s">
        <v>629</v>
      </c>
      <c r="B588" t="s">
        <v>88</v>
      </c>
      <c r="C588" t="s">
        <v>23</v>
      </c>
      <c r="D588">
        <v>76.97</v>
      </c>
      <c r="E588" t="s">
        <v>5</v>
      </c>
      <c r="F588">
        <v>6.85</v>
      </c>
      <c r="G588" t="s">
        <v>26</v>
      </c>
      <c r="H588" t="str">
        <f t="shared" si="57"/>
        <v>Passed</v>
      </c>
      <c r="I588" t="str">
        <f>IF(AND(Sheet1[[#This Row],[Attendance ]]&gt;65,Sheet1[[#This Row],[Attendance ]]&lt;75),"Yes","No")</f>
        <v>No</v>
      </c>
      <c r="J588" t="str">
        <f>IF(Sheet1[[#This Row],[Attendance ]]&lt;65,"Yes","No")</f>
        <v>No</v>
      </c>
    </row>
    <row r="589" spans="1:12" hidden="1" x14ac:dyDescent="0.35">
      <c r="A589" t="s">
        <v>630</v>
      </c>
      <c r="B589" t="s">
        <v>164</v>
      </c>
      <c r="C589" t="s">
        <v>20</v>
      </c>
      <c r="D589">
        <v>82.44</v>
      </c>
      <c r="E589" t="s">
        <v>5</v>
      </c>
      <c r="F589">
        <v>6.38</v>
      </c>
      <c r="G589" t="s">
        <v>28</v>
      </c>
      <c r="H589" t="str">
        <f t="shared" si="57"/>
        <v>Passed</v>
      </c>
      <c r="I589" t="str">
        <f>IF(AND(Sheet1[[#This Row],[Attendance ]]&gt;65,Sheet1[[#This Row],[Attendance ]]&lt;75),"Yes","No")</f>
        <v>No</v>
      </c>
      <c r="J589" t="str">
        <f>IF(Sheet1[[#This Row],[Attendance ]]&lt;65,"Yes","No")</f>
        <v>No</v>
      </c>
    </row>
    <row r="590" spans="1:12" hidden="1" x14ac:dyDescent="0.35">
      <c r="A590" t="s">
        <v>631</v>
      </c>
      <c r="B590" t="s">
        <v>61</v>
      </c>
      <c r="C590" t="s">
        <v>13</v>
      </c>
      <c r="D590">
        <v>94.45</v>
      </c>
      <c r="E590" t="s">
        <v>5</v>
      </c>
      <c r="F590">
        <v>9.59</v>
      </c>
      <c r="G590" t="s">
        <v>6</v>
      </c>
      <c r="H590" t="str">
        <f t="shared" si="57"/>
        <v>Passed</v>
      </c>
      <c r="I590" t="str">
        <f>IF(AND(Sheet1[[#This Row],[Attendance ]]&gt;65,Sheet1[[#This Row],[Attendance ]]&lt;75),"Yes","No")</f>
        <v>No</v>
      </c>
      <c r="J590" t="str">
        <f>IF(Sheet1[[#This Row],[Attendance ]]&lt;65,"Yes","No")</f>
        <v>No</v>
      </c>
    </row>
    <row r="591" spans="1:12" hidden="1" x14ac:dyDescent="0.35">
      <c r="A591" t="s">
        <v>632</v>
      </c>
      <c r="B591" t="s">
        <v>51</v>
      </c>
      <c r="C591" t="s">
        <v>35</v>
      </c>
      <c r="D591">
        <v>64.180000000000007</v>
      </c>
      <c r="E591" t="s">
        <v>5</v>
      </c>
      <c r="F591">
        <v>6.97</v>
      </c>
      <c r="G591" t="s">
        <v>26</v>
      </c>
      <c r="H591" t="str">
        <f t="shared" si="57"/>
        <v>Passed</v>
      </c>
      <c r="I591" t="str">
        <f>IF(AND(Sheet1[[#This Row],[Attendance ]]&gt;65,Sheet1[[#This Row],[Attendance ]]&lt;75),"Yes","No")</f>
        <v>No</v>
      </c>
      <c r="J591" t="str">
        <f>IF(Sheet1[[#This Row],[Attendance ]]&lt;65,"Yes","No")</f>
        <v>Yes</v>
      </c>
    </row>
    <row r="592" spans="1:12" hidden="1" x14ac:dyDescent="0.35">
      <c r="A592" t="s">
        <v>633</v>
      </c>
      <c r="B592" t="s">
        <v>63</v>
      </c>
      <c r="C592" t="s">
        <v>35</v>
      </c>
      <c r="D592">
        <v>76.3</v>
      </c>
      <c r="E592" t="s">
        <v>5</v>
      </c>
      <c r="F592">
        <v>9.57</v>
      </c>
      <c r="G592" t="s">
        <v>26</v>
      </c>
      <c r="H592" t="str">
        <f t="shared" si="57"/>
        <v>Passed</v>
      </c>
      <c r="I592" t="str">
        <f>IF(AND(Sheet1[[#This Row],[Attendance ]]&gt;65,Sheet1[[#This Row],[Attendance ]]&lt;75),"Yes","No")</f>
        <v>No</v>
      </c>
      <c r="J592" t="str">
        <f>IF(Sheet1[[#This Row],[Attendance ]]&lt;65,"Yes","No")</f>
        <v>No</v>
      </c>
    </row>
    <row r="593" spans="1:12" hidden="1" x14ac:dyDescent="0.35">
      <c r="A593" t="s">
        <v>634</v>
      </c>
      <c r="B593" t="s">
        <v>15</v>
      </c>
      <c r="C593" t="s">
        <v>13</v>
      </c>
      <c r="D593">
        <v>77.05</v>
      </c>
      <c r="E593" t="s">
        <v>5</v>
      </c>
      <c r="F593">
        <v>6.4</v>
      </c>
      <c r="G593" t="s">
        <v>6</v>
      </c>
      <c r="H593" t="str">
        <f t="shared" si="57"/>
        <v>Passed</v>
      </c>
      <c r="I593" t="str">
        <f>IF(AND(Sheet1[[#This Row],[Attendance ]]&gt;65,Sheet1[[#This Row],[Attendance ]]&lt;75),"Yes","No")</f>
        <v>No</v>
      </c>
      <c r="J593" t="str">
        <f>IF(Sheet1[[#This Row],[Attendance ]]&lt;65,"Yes","No")</f>
        <v>No</v>
      </c>
    </row>
    <row r="594" spans="1:12" hidden="1" x14ac:dyDescent="0.35">
      <c r="A594" t="s">
        <v>635</v>
      </c>
      <c r="B594" t="s">
        <v>17</v>
      </c>
      <c r="C594" t="s">
        <v>20</v>
      </c>
      <c r="D594">
        <v>62.43</v>
      </c>
      <c r="E594" t="s">
        <v>5</v>
      </c>
      <c r="F594">
        <v>5.08</v>
      </c>
      <c r="G594" t="s">
        <v>28</v>
      </c>
      <c r="H594" t="str">
        <f t="shared" si="57"/>
        <v>Passed</v>
      </c>
      <c r="I594" t="str">
        <f>IF(AND(Sheet1[[#This Row],[Attendance ]]&gt;65,Sheet1[[#This Row],[Attendance ]]&lt;75),"Yes","No")</f>
        <v>No</v>
      </c>
      <c r="J594" t="str">
        <f>IF(Sheet1[[#This Row],[Attendance ]]&lt;65,"Yes","No")</f>
        <v>Yes</v>
      </c>
    </row>
    <row r="595" spans="1:12" hidden="1" x14ac:dyDescent="0.35">
      <c r="A595" t="s">
        <v>636</v>
      </c>
      <c r="B595" t="s">
        <v>88</v>
      </c>
      <c r="C595" t="s">
        <v>23</v>
      </c>
      <c r="D595">
        <v>99.66</v>
      </c>
      <c r="E595" t="s">
        <v>5</v>
      </c>
      <c r="F595">
        <v>5.0199999999999996</v>
      </c>
      <c r="G595" t="s">
        <v>6</v>
      </c>
      <c r="H595" t="str">
        <f t="shared" si="57"/>
        <v>Passed</v>
      </c>
      <c r="I595" t="str">
        <f>IF(AND(Sheet1[[#This Row],[Attendance ]]&gt;65,Sheet1[[#This Row],[Attendance ]]&lt;75),"Yes","No")</f>
        <v>No</v>
      </c>
      <c r="J595" t="str">
        <f>IF(Sheet1[[#This Row],[Attendance ]]&lt;65,"Yes","No")</f>
        <v>No</v>
      </c>
    </row>
    <row r="596" spans="1:12" x14ac:dyDescent="0.35">
      <c r="A596" t="s">
        <v>637</v>
      </c>
      <c r="B596" t="s">
        <v>72</v>
      </c>
      <c r="C596" t="s">
        <v>4</v>
      </c>
      <c r="D596">
        <v>70.33</v>
      </c>
      <c r="E596" t="s">
        <v>10</v>
      </c>
      <c r="F596">
        <v>5.66</v>
      </c>
      <c r="G596" t="s">
        <v>6</v>
      </c>
      <c r="H596" t="str">
        <f t="shared" si="57"/>
        <v>DBMS</v>
      </c>
      <c r="I596" t="str">
        <f>IF(AND(Sheet1[[#This Row],[Attendance ]]&gt;65,Sheet1[[#This Row],[Attendance ]]&lt;75),"Yes","No")</f>
        <v>Yes</v>
      </c>
      <c r="J596" t="str">
        <f>IF(Sheet1[[#This Row],[Attendance ]]&lt;65,"Yes","No")</f>
        <v>No</v>
      </c>
      <c r="K596" t="str">
        <f>CHOOSE(MOD(ROW()-2,8)+1,
"Kadapa",
"Ananthapur",
"Rayachoti",
"Nellore",
"Chittoor",
"Madanapalli",
"Rajampeta",
"Tirupati")</f>
        <v>Rayachoti</v>
      </c>
      <c r="L596" t="str">
        <f>IF(AND(G594="4th Year",E594="Pass",F594&gt;=7),"Yes","No")</f>
        <v>No</v>
      </c>
    </row>
    <row r="597" spans="1:12" hidden="1" x14ac:dyDescent="0.35">
      <c r="A597" t="s">
        <v>638</v>
      </c>
      <c r="B597" t="s">
        <v>39</v>
      </c>
      <c r="C597" t="s">
        <v>9</v>
      </c>
      <c r="D597">
        <v>92.92</v>
      </c>
      <c r="E597" t="s">
        <v>5</v>
      </c>
      <c r="F597">
        <v>5.25</v>
      </c>
      <c r="G597" t="s">
        <v>6</v>
      </c>
      <c r="H597" t="str">
        <f t="shared" si="57"/>
        <v>Passed</v>
      </c>
      <c r="I597" t="str">
        <f>IF(AND(Sheet1[[#This Row],[Attendance ]]&gt;65,Sheet1[[#This Row],[Attendance ]]&lt;75),"Yes","No")</f>
        <v>No</v>
      </c>
      <c r="J597" t="str">
        <f>IF(Sheet1[[#This Row],[Attendance ]]&lt;65,"Yes","No")</f>
        <v>No</v>
      </c>
    </row>
    <row r="598" spans="1:12" hidden="1" x14ac:dyDescent="0.35">
      <c r="A598" t="s">
        <v>639</v>
      </c>
      <c r="B598" t="s">
        <v>25</v>
      </c>
      <c r="C598" t="s">
        <v>20</v>
      </c>
      <c r="D598">
        <v>81.31</v>
      </c>
      <c r="E598" t="s">
        <v>5</v>
      </c>
      <c r="F598">
        <v>6.02</v>
      </c>
      <c r="G598" t="s">
        <v>11</v>
      </c>
      <c r="H598" t="str">
        <f t="shared" si="57"/>
        <v>Passed</v>
      </c>
      <c r="I598" t="str">
        <f>IF(AND(Sheet1[[#This Row],[Attendance ]]&gt;65,Sheet1[[#This Row],[Attendance ]]&lt;75),"Yes","No")</f>
        <v>No</v>
      </c>
      <c r="J598" t="str">
        <f>IF(Sheet1[[#This Row],[Attendance ]]&lt;65,"Yes","No")</f>
        <v>No</v>
      </c>
    </row>
    <row r="599" spans="1:12" hidden="1" x14ac:dyDescent="0.35">
      <c r="A599" t="s">
        <v>640</v>
      </c>
      <c r="B599" t="s">
        <v>61</v>
      </c>
      <c r="C599" t="s">
        <v>23</v>
      </c>
      <c r="D599">
        <v>83.71</v>
      </c>
      <c r="E599" t="s">
        <v>5</v>
      </c>
      <c r="F599">
        <v>8.91</v>
      </c>
      <c r="G599" t="s">
        <v>11</v>
      </c>
      <c r="H599" t="str">
        <f t="shared" si="57"/>
        <v>Passed</v>
      </c>
      <c r="I599" t="str">
        <f>IF(AND(Sheet1[[#This Row],[Attendance ]]&gt;65,Sheet1[[#This Row],[Attendance ]]&lt;75),"Yes","No")</f>
        <v>No</v>
      </c>
      <c r="J599" t="str">
        <f>IF(Sheet1[[#This Row],[Attendance ]]&lt;65,"Yes","No")</f>
        <v>No</v>
      </c>
    </row>
    <row r="600" spans="1:12" hidden="1" x14ac:dyDescent="0.35">
      <c r="A600" t="s">
        <v>641</v>
      </c>
      <c r="B600" t="s">
        <v>30</v>
      </c>
      <c r="C600" t="s">
        <v>13</v>
      </c>
      <c r="D600">
        <v>94.98</v>
      </c>
      <c r="E600" t="s">
        <v>5</v>
      </c>
      <c r="F600">
        <v>8.1</v>
      </c>
      <c r="G600" t="s">
        <v>26</v>
      </c>
      <c r="H600" t="str">
        <f t="shared" si="57"/>
        <v>Passed</v>
      </c>
      <c r="I600" t="str">
        <f>IF(AND(Sheet1[[#This Row],[Attendance ]]&gt;65,Sheet1[[#This Row],[Attendance ]]&lt;75),"Yes","No")</f>
        <v>No</v>
      </c>
      <c r="J600" t="str">
        <f>IF(Sheet1[[#This Row],[Attendance ]]&lt;65,"Yes","No")</f>
        <v>No</v>
      </c>
    </row>
    <row r="601" spans="1:12" x14ac:dyDescent="0.35">
      <c r="A601" t="s">
        <v>642</v>
      </c>
      <c r="B601" t="s">
        <v>61</v>
      </c>
      <c r="C601" t="s">
        <v>20</v>
      </c>
      <c r="D601">
        <v>65.64</v>
      </c>
      <c r="E601" t="s">
        <v>5</v>
      </c>
      <c r="F601">
        <v>5.94</v>
      </c>
      <c r="G601" t="s">
        <v>11</v>
      </c>
      <c r="H601" t="str">
        <f t="shared" si="57"/>
        <v>Passed</v>
      </c>
      <c r="I601" t="str">
        <f>IF(AND(Sheet1[[#This Row],[Attendance ]]&gt;65,Sheet1[[#This Row],[Attendance ]]&lt;75),"Yes","No")</f>
        <v>Yes</v>
      </c>
      <c r="J601" t="str">
        <f>IF(Sheet1[[#This Row],[Attendance ]]&lt;65,"Yes","No")</f>
        <v>No</v>
      </c>
      <c r="K601" t="str">
        <f t="shared" ref="K601:K602" si="58">CHOOSE(MOD(ROW()-2,8)+1,
"Kadapa",
"Ananthapur",
"Rayachoti",
"Nellore",
"Chittoor",
"Madanapalli",
"Rajampeta",
"Tirupati")</f>
        <v>Tirupati</v>
      </c>
      <c r="L601" t="str">
        <f t="shared" ref="L601:L602" si="59">IF(AND(G599="4th Year",E599="Pass",F599&gt;=7),"Yes","No")</f>
        <v>No</v>
      </c>
    </row>
    <row r="602" spans="1:12" x14ac:dyDescent="0.35">
      <c r="A602" t="s">
        <v>643</v>
      </c>
      <c r="B602" t="s">
        <v>15</v>
      </c>
      <c r="C602" t="s">
        <v>4</v>
      </c>
      <c r="D602">
        <v>69.16</v>
      </c>
      <c r="E602" t="s">
        <v>10</v>
      </c>
      <c r="F602">
        <v>6.35</v>
      </c>
      <c r="G602" t="s">
        <v>28</v>
      </c>
      <c r="H602" t="str">
        <f t="shared" si="57"/>
        <v>Machine Learning</v>
      </c>
      <c r="I602" t="str">
        <f>IF(AND(Sheet1[[#This Row],[Attendance ]]&gt;65,Sheet1[[#This Row],[Attendance ]]&lt;75),"Yes","No")</f>
        <v>Yes</v>
      </c>
      <c r="J602" t="str">
        <f>IF(Sheet1[[#This Row],[Attendance ]]&lt;65,"Yes","No")</f>
        <v>No</v>
      </c>
      <c r="K602" t="str">
        <f t="shared" si="58"/>
        <v>Kadapa</v>
      </c>
      <c r="L602" t="str">
        <f t="shared" si="59"/>
        <v>Yes</v>
      </c>
    </row>
    <row r="603" spans="1:12" hidden="1" x14ac:dyDescent="0.35">
      <c r="A603" t="s">
        <v>644</v>
      </c>
      <c r="B603" t="s">
        <v>107</v>
      </c>
      <c r="C603" t="s">
        <v>23</v>
      </c>
      <c r="D603">
        <v>75.52</v>
      </c>
      <c r="E603" t="s">
        <v>5</v>
      </c>
      <c r="F603">
        <v>9.6300000000000008</v>
      </c>
      <c r="G603" t="s">
        <v>6</v>
      </c>
      <c r="H603" t="str">
        <f t="shared" si="57"/>
        <v>Passed</v>
      </c>
      <c r="I603" t="str">
        <f>IF(AND(Sheet1[[#This Row],[Attendance ]]&gt;65,Sheet1[[#This Row],[Attendance ]]&lt;75),"Yes","No")</f>
        <v>No</v>
      </c>
      <c r="J603" t="str">
        <f>IF(Sheet1[[#This Row],[Attendance ]]&lt;65,"Yes","No")</f>
        <v>No</v>
      </c>
    </row>
    <row r="604" spans="1:12" hidden="1" x14ac:dyDescent="0.35">
      <c r="A604" t="s">
        <v>645</v>
      </c>
      <c r="B604" t="s">
        <v>15</v>
      </c>
      <c r="C604" t="s">
        <v>35</v>
      </c>
      <c r="D604">
        <v>78.27</v>
      </c>
      <c r="E604" t="s">
        <v>5</v>
      </c>
      <c r="F604">
        <v>7.65</v>
      </c>
      <c r="G604" t="s">
        <v>28</v>
      </c>
      <c r="H604" t="str">
        <f t="shared" si="57"/>
        <v>Passed</v>
      </c>
      <c r="I604" t="str">
        <f>IF(AND(Sheet1[[#This Row],[Attendance ]]&gt;65,Sheet1[[#This Row],[Attendance ]]&lt;75),"Yes","No")</f>
        <v>No</v>
      </c>
      <c r="J604" t="str">
        <f>IF(Sheet1[[#This Row],[Attendance ]]&lt;65,"Yes","No")</f>
        <v>No</v>
      </c>
    </row>
    <row r="605" spans="1:12" x14ac:dyDescent="0.35">
      <c r="A605" t="s">
        <v>646</v>
      </c>
      <c r="B605" t="s">
        <v>39</v>
      </c>
      <c r="C605" t="s">
        <v>20</v>
      </c>
      <c r="D605">
        <v>68.59</v>
      </c>
      <c r="E605" t="s">
        <v>5</v>
      </c>
      <c r="F605">
        <v>9.58</v>
      </c>
      <c r="G605" t="s">
        <v>11</v>
      </c>
      <c r="H605" t="str">
        <f t="shared" si="57"/>
        <v>Passed</v>
      </c>
      <c r="I605" t="str">
        <f>IF(AND(Sheet1[[#This Row],[Attendance ]]&gt;65,Sheet1[[#This Row],[Attendance ]]&lt;75),"Yes","No")</f>
        <v>Yes</v>
      </c>
      <c r="J605" t="str">
        <f>IF(Sheet1[[#This Row],[Attendance ]]&lt;65,"Yes","No")</f>
        <v>No</v>
      </c>
      <c r="K605" t="str">
        <f t="shared" ref="K605:K606" si="60">CHOOSE(MOD(ROW()-2,8)+1,
"Kadapa",
"Ananthapur",
"Rayachoti",
"Nellore",
"Chittoor",
"Madanapalli",
"Rajampeta",
"Tirupati")</f>
        <v>Nellore</v>
      </c>
      <c r="L605" t="str">
        <f t="shared" ref="L605:L606" si="61">IF(AND(G603="4th Year",E603="Pass",F603&gt;=7),"Yes","No")</f>
        <v>No</v>
      </c>
    </row>
    <row r="606" spans="1:12" x14ac:dyDescent="0.35">
      <c r="A606" t="s">
        <v>647</v>
      </c>
      <c r="B606" t="s">
        <v>58</v>
      </c>
      <c r="C606" t="s">
        <v>20</v>
      </c>
      <c r="D606">
        <v>73.62</v>
      </c>
      <c r="E606" t="s">
        <v>10</v>
      </c>
      <c r="F606">
        <v>5.56</v>
      </c>
      <c r="G606" t="s">
        <v>26</v>
      </c>
      <c r="H606" t="str">
        <f t="shared" si="57"/>
        <v>Deep Learning</v>
      </c>
      <c r="I606" t="str">
        <f>IF(AND(Sheet1[[#This Row],[Attendance ]]&gt;65,Sheet1[[#This Row],[Attendance ]]&lt;75),"Yes","No")</f>
        <v>Yes</v>
      </c>
      <c r="J606" t="str">
        <f>IF(Sheet1[[#This Row],[Attendance ]]&lt;65,"Yes","No")</f>
        <v>No</v>
      </c>
      <c r="K606" t="str">
        <f t="shared" si="60"/>
        <v>Chittoor</v>
      </c>
      <c r="L606" t="str">
        <f t="shared" si="61"/>
        <v>No</v>
      </c>
    </row>
    <row r="607" spans="1:12" hidden="1" x14ac:dyDescent="0.35">
      <c r="A607" t="s">
        <v>648</v>
      </c>
      <c r="B607" t="s">
        <v>43</v>
      </c>
      <c r="C607" t="s">
        <v>13</v>
      </c>
      <c r="D607">
        <v>83.22</v>
      </c>
      <c r="E607" t="s">
        <v>5</v>
      </c>
      <c r="F607">
        <v>7.28</v>
      </c>
      <c r="G607" t="s">
        <v>28</v>
      </c>
      <c r="H607" t="str">
        <f t="shared" si="57"/>
        <v>Passed</v>
      </c>
      <c r="I607" t="str">
        <f>IF(AND(Sheet1[[#This Row],[Attendance ]]&gt;65,Sheet1[[#This Row],[Attendance ]]&lt;75),"Yes","No")</f>
        <v>No</v>
      </c>
      <c r="J607" t="str">
        <f>IF(Sheet1[[#This Row],[Attendance ]]&lt;65,"Yes","No")</f>
        <v>No</v>
      </c>
    </row>
    <row r="608" spans="1:12" hidden="1" x14ac:dyDescent="0.35">
      <c r="A608" t="s">
        <v>649</v>
      </c>
      <c r="B608" t="s">
        <v>116</v>
      </c>
      <c r="C608" t="s">
        <v>13</v>
      </c>
      <c r="D608">
        <v>87.87</v>
      </c>
      <c r="E608" t="s">
        <v>5</v>
      </c>
      <c r="F608">
        <v>9.4700000000000006</v>
      </c>
      <c r="G608" t="s">
        <v>26</v>
      </c>
      <c r="H608" t="str">
        <f t="shared" si="57"/>
        <v>Passed</v>
      </c>
      <c r="I608" t="str">
        <f>IF(AND(Sheet1[[#This Row],[Attendance ]]&gt;65,Sheet1[[#This Row],[Attendance ]]&lt;75),"Yes","No")</f>
        <v>No</v>
      </c>
      <c r="J608" t="str">
        <f>IF(Sheet1[[#This Row],[Attendance ]]&lt;65,"Yes","No")</f>
        <v>No</v>
      </c>
    </row>
    <row r="609" spans="1:12" hidden="1" x14ac:dyDescent="0.35">
      <c r="A609" t="s">
        <v>650</v>
      </c>
      <c r="B609" t="s">
        <v>61</v>
      </c>
      <c r="C609" t="s">
        <v>9</v>
      </c>
      <c r="D609">
        <v>62.42</v>
      </c>
      <c r="E609" t="s">
        <v>5</v>
      </c>
      <c r="F609">
        <v>8.52</v>
      </c>
      <c r="G609" t="s">
        <v>6</v>
      </c>
      <c r="H609" t="str">
        <f t="shared" si="57"/>
        <v>Passed</v>
      </c>
      <c r="I609" t="str">
        <f>IF(AND(Sheet1[[#This Row],[Attendance ]]&gt;65,Sheet1[[#This Row],[Attendance ]]&lt;75),"Yes","No")</f>
        <v>No</v>
      </c>
      <c r="J609" t="str">
        <f>IF(Sheet1[[#This Row],[Attendance ]]&lt;65,"Yes","No")</f>
        <v>Yes</v>
      </c>
    </row>
    <row r="610" spans="1:12" x14ac:dyDescent="0.35">
      <c r="A610" t="s">
        <v>651</v>
      </c>
      <c r="B610" t="s">
        <v>32</v>
      </c>
      <c r="C610" t="s">
        <v>13</v>
      </c>
      <c r="D610">
        <v>69.3</v>
      </c>
      <c r="E610" t="s">
        <v>5</v>
      </c>
      <c r="F610">
        <v>6.15</v>
      </c>
      <c r="G610" t="s">
        <v>11</v>
      </c>
      <c r="H610" t="str">
        <f t="shared" si="57"/>
        <v>Passed</v>
      </c>
      <c r="I610" t="str">
        <f>IF(AND(Sheet1[[#This Row],[Attendance ]]&gt;65,Sheet1[[#This Row],[Attendance ]]&lt;75),"Yes","No")</f>
        <v>Yes</v>
      </c>
      <c r="J610" t="str">
        <f>IF(Sheet1[[#This Row],[Attendance ]]&lt;65,"Yes","No")</f>
        <v>No</v>
      </c>
      <c r="K610" t="str">
        <f>CHOOSE(MOD(ROW()-2,8)+1,
"Kadapa",
"Ananthapur",
"Rayachoti",
"Nellore",
"Chittoor",
"Madanapalli",
"Rajampeta",
"Tirupati")</f>
        <v>Kadapa</v>
      </c>
      <c r="L610" t="str">
        <f>IF(AND(G608="4th Year",E608="Pass",F608&gt;=7),"Yes","No")</f>
        <v>Yes</v>
      </c>
    </row>
    <row r="611" spans="1:12" hidden="1" x14ac:dyDescent="0.35">
      <c r="A611" t="s">
        <v>652</v>
      </c>
      <c r="B611" t="s">
        <v>45</v>
      </c>
      <c r="C611" t="s">
        <v>20</v>
      </c>
      <c r="D611">
        <v>79.05</v>
      </c>
      <c r="E611" t="s">
        <v>5</v>
      </c>
      <c r="F611">
        <v>9.51</v>
      </c>
      <c r="G611" t="s">
        <v>11</v>
      </c>
      <c r="H611" t="str">
        <f t="shared" si="57"/>
        <v>Passed</v>
      </c>
      <c r="I611" t="str">
        <f>IF(AND(Sheet1[[#This Row],[Attendance ]]&gt;65,Sheet1[[#This Row],[Attendance ]]&lt;75),"Yes","No")</f>
        <v>No</v>
      </c>
      <c r="J611" t="str">
        <f>IF(Sheet1[[#This Row],[Attendance ]]&lt;65,"Yes","No")</f>
        <v>No</v>
      </c>
    </row>
    <row r="612" spans="1:12" x14ac:dyDescent="0.35">
      <c r="A612" t="s">
        <v>653</v>
      </c>
      <c r="B612" t="s">
        <v>107</v>
      </c>
      <c r="C612" t="s">
        <v>9</v>
      </c>
      <c r="D612">
        <v>70.28</v>
      </c>
      <c r="E612" t="s">
        <v>5</v>
      </c>
      <c r="F612">
        <v>8.58</v>
      </c>
      <c r="G612" t="s">
        <v>11</v>
      </c>
      <c r="H612" t="str">
        <f t="shared" si="57"/>
        <v>Passed</v>
      </c>
      <c r="I612" t="str">
        <f>IF(AND(Sheet1[[#This Row],[Attendance ]]&gt;65,Sheet1[[#This Row],[Attendance ]]&lt;75),"Yes","No")</f>
        <v>Yes</v>
      </c>
      <c r="J612" t="str">
        <f>IF(Sheet1[[#This Row],[Attendance ]]&lt;65,"Yes","No")</f>
        <v>No</v>
      </c>
      <c r="K612" t="str">
        <f t="shared" ref="K612:K613" si="62">CHOOSE(MOD(ROW()-2,8)+1,
"Kadapa",
"Ananthapur",
"Rayachoti",
"Nellore",
"Chittoor",
"Madanapalli",
"Rajampeta",
"Tirupati")</f>
        <v>Rayachoti</v>
      </c>
      <c r="L612" t="str">
        <f t="shared" ref="L612:L613" si="63">IF(AND(G610="4th Year",E610="Pass",F610&gt;=7),"Yes","No")</f>
        <v>No</v>
      </c>
    </row>
    <row r="613" spans="1:12" x14ac:dyDescent="0.35">
      <c r="A613" t="s">
        <v>654</v>
      </c>
      <c r="B613" t="s">
        <v>22</v>
      </c>
      <c r="C613" t="s">
        <v>4</v>
      </c>
      <c r="D613">
        <v>68.84</v>
      </c>
      <c r="E613" t="s">
        <v>5</v>
      </c>
      <c r="F613">
        <v>5.94</v>
      </c>
      <c r="G613" t="s">
        <v>6</v>
      </c>
      <c r="H613" t="str">
        <f t="shared" si="57"/>
        <v>Passed</v>
      </c>
      <c r="I613" t="str">
        <f>IF(AND(Sheet1[[#This Row],[Attendance ]]&gt;65,Sheet1[[#This Row],[Attendance ]]&lt;75),"Yes","No")</f>
        <v>Yes</v>
      </c>
      <c r="J613" t="str">
        <f>IF(Sheet1[[#This Row],[Attendance ]]&lt;65,"Yes","No")</f>
        <v>No</v>
      </c>
      <c r="K613" t="str">
        <f t="shared" si="62"/>
        <v>Nellore</v>
      </c>
      <c r="L613" t="str">
        <f t="shared" si="63"/>
        <v>No</v>
      </c>
    </row>
    <row r="614" spans="1:12" hidden="1" x14ac:dyDescent="0.35">
      <c r="A614" t="s">
        <v>655</v>
      </c>
      <c r="B614" t="s">
        <v>149</v>
      </c>
      <c r="C614" t="s">
        <v>23</v>
      </c>
      <c r="D614">
        <v>90.62</v>
      </c>
      <c r="E614" t="s">
        <v>10</v>
      </c>
      <c r="F614">
        <v>5.61</v>
      </c>
      <c r="G614" t="s">
        <v>6</v>
      </c>
      <c r="H614" t="str">
        <f t="shared" si="57"/>
        <v>DBMS</v>
      </c>
      <c r="I614" t="str">
        <f>IF(AND(Sheet1[[#This Row],[Attendance ]]&gt;65,Sheet1[[#This Row],[Attendance ]]&lt;75),"Yes","No")</f>
        <v>No</v>
      </c>
      <c r="J614" t="str">
        <f>IF(Sheet1[[#This Row],[Attendance ]]&lt;65,"Yes","No")</f>
        <v>No</v>
      </c>
    </row>
    <row r="615" spans="1:12" hidden="1" x14ac:dyDescent="0.35">
      <c r="A615" t="s">
        <v>656</v>
      </c>
      <c r="B615" t="s">
        <v>12</v>
      </c>
      <c r="C615" t="s">
        <v>13</v>
      </c>
      <c r="D615">
        <v>84.87</v>
      </c>
      <c r="E615" t="s">
        <v>5</v>
      </c>
      <c r="F615">
        <v>5.83</v>
      </c>
      <c r="G615" t="s">
        <v>6</v>
      </c>
      <c r="H615" t="str">
        <f t="shared" si="57"/>
        <v>Passed</v>
      </c>
      <c r="I615" t="str">
        <f>IF(AND(Sheet1[[#This Row],[Attendance ]]&gt;65,Sheet1[[#This Row],[Attendance ]]&lt;75),"Yes","No")</f>
        <v>No</v>
      </c>
      <c r="J615" t="str">
        <f>IF(Sheet1[[#This Row],[Attendance ]]&lt;65,"Yes","No")</f>
        <v>No</v>
      </c>
    </row>
    <row r="616" spans="1:12" hidden="1" x14ac:dyDescent="0.35">
      <c r="A616" t="s">
        <v>657</v>
      </c>
      <c r="B616" t="s">
        <v>164</v>
      </c>
      <c r="C616" t="s">
        <v>4</v>
      </c>
      <c r="D616">
        <v>81.7</v>
      </c>
      <c r="E616" t="s">
        <v>5</v>
      </c>
      <c r="F616">
        <v>5.59</v>
      </c>
      <c r="G616" t="s">
        <v>26</v>
      </c>
      <c r="H616" t="str">
        <f t="shared" si="57"/>
        <v>Passed</v>
      </c>
      <c r="I616" t="str">
        <f>IF(AND(Sheet1[[#This Row],[Attendance ]]&gt;65,Sheet1[[#This Row],[Attendance ]]&lt;75),"Yes","No")</f>
        <v>No</v>
      </c>
      <c r="J616" t="str">
        <f>IF(Sheet1[[#This Row],[Attendance ]]&lt;65,"Yes","No")</f>
        <v>No</v>
      </c>
    </row>
    <row r="617" spans="1:12" hidden="1" x14ac:dyDescent="0.35">
      <c r="A617" t="s">
        <v>658</v>
      </c>
      <c r="B617" t="s">
        <v>37</v>
      </c>
      <c r="C617" t="s">
        <v>13</v>
      </c>
      <c r="D617">
        <v>64.3</v>
      </c>
      <c r="E617" t="s">
        <v>5</v>
      </c>
      <c r="F617">
        <v>7.67</v>
      </c>
      <c r="G617" t="s">
        <v>28</v>
      </c>
      <c r="H617" t="str">
        <f t="shared" si="57"/>
        <v>Passed</v>
      </c>
      <c r="I617" t="str">
        <f>IF(AND(Sheet1[[#This Row],[Attendance ]]&gt;65,Sheet1[[#This Row],[Attendance ]]&lt;75),"Yes","No")</f>
        <v>No</v>
      </c>
      <c r="J617" t="str">
        <f>IF(Sheet1[[#This Row],[Attendance ]]&lt;65,"Yes","No")</f>
        <v>Yes</v>
      </c>
    </row>
    <row r="618" spans="1:12" hidden="1" x14ac:dyDescent="0.35">
      <c r="A618" t="s">
        <v>659</v>
      </c>
      <c r="B618" t="s">
        <v>77</v>
      </c>
      <c r="C618" t="s">
        <v>9</v>
      </c>
      <c r="D618">
        <v>99.41</v>
      </c>
      <c r="E618" t="s">
        <v>10</v>
      </c>
      <c r="F618">
        <v>5.48</v>
      </c>
      <c r="G618" t="s">
        <v>6</v>
      </c>
      <c r="H618" t="str">
        <f t="shared" si="57"/>
        <v>DBMS</v>
      </c>
      <c r="I618" t="str">
        <f>IF(AND(Sheet1[[#This Row],[Attendance ]]&gt;65,Sheet1[[#This Row],[Attendance ]]&lt;75),"Yes","No")</f>
        <v>No</v>
      </c>
      <c r="J618" t="str">
        <f>IF(Sheet1[[#This Row],[Attendance ]]&lt;65,"Yes","No")</f>
        <v>No</v>
      </c>
    </row>
    <row r="619" spans="1:12" hidden="1" x14ac:dyDescent="0.35">
      <c r="A619" t="s">
        <v>660</v>
      </c>
      <c r="B619" t="s">
        <v>58</v>
      </c>
      <c r="C619" t="s">
        <v>20</v>
      </c>
      <c r="D619">
        <v>77.92</v>
      </c>
      <c r="E619" t="s">
        <v>5</v>
      </c>
      <c r="F619">
        <v>8.34</v>
      </c>
      <c r="G619" t="s">
        <v>28</v>
      </c>
      <c r="H619" t="str">
        <f t="shared" si="57"/>
        <v>Passed</v>
      </c>
      <c r="I619" t="str">
        <f>IF(AND(Sheet1[[#This Row],[Attendance ]]&gt;65,Sheet1[[#This Row],[Attendance ]]&lt;75),"Yes","No")</f>
        <v>No</v>
      </c>
      <c r="J619" t="str">
        <f>IF(Sheet1[[#This Row],[Attendance ]]&lt;65,"Yes","No")</f>
        <v>No</v>
      </c>
    </row>
    <row r="620" spans="1:12" x14ac:dyDescent="0.35">
      <c r="A620" t="s">
        <v>661</v>
      </c>
      <c r="B620" t="s">
        <v>88</v>
      </c>
      <c r="C620" t="s">
        <v>20</v>
      </c>
      <c r="D620">
        <v>68.48</v>
      </c>
      <c r="E620" t="s">
        <v>5</v>
      </c>
      <c r="F620">
        <v>6.06</v>
      </c>
      <c r="G620" t="s">
        <v>28</v>
      </c>
      <c r="H620" t="str">
        <f t="shared" si="57"/>
        <v>Passed</v>
      </c>
      <c r="I620" t="str">
        <f>IF(AND(Sheet1[[#This Row],[Attendance ]]&gt;65,Sheet1[[#This Row],[Attendance ]]&lt;75),"Yes","No")</f>
        <v>Yes</v>
      </c>
      <c r="J620" t="str">
        <f>IF(Sheet1[[#This Row],[Attendance ]]&lt;65,"Yes","No")</f>
        <v>No</v>
      </c>
      <c r="K620" t="str">
        <f>CHOOSE(MOD(ROW()-2,8)+1,
"Kadapa",
"Ananthapur",
"Rayachoti",
"Nellore",
"Chittoor",
"Madanapalli",
"Rajampeta",
"Tirupati")</f>
        <v>Rayachoti</v>
      </c>
      <c r="L620" t="str">
        <f>IF(AND(G618="4th Year",E618="Pass",F618&gt;=7),"Yes","No")</f>
        <v>No</v>
      </c>
    </row>
    <row r="621" spans="1:12" hidden="1" x14ac:dyDescent="0.35">
      <c r="A621" t="s">
        <v>662</v>
      </c>
      <c r="B621" t="s">
        <v>77</v>
      </c>
      <c r="C621" t="s">
        <v>13</v>
      </c>
      <c r="D621">
        <v>76.98</v>
      </c>
      <c r="E621" t="s">
        <v>5</v>
      </c>
      <c r="F621">
        <v>6.39</v>
      </c>
      <c r="G621" t="s">
        <v>28</v>
      </c>
      <c r="H621" t="str">
        <f t="shared" si="57"/>
        <v>Passed</v>
      </c>
      <c r="I621" t="str">
        <f>IF(AND(Sheet1[[#This Row],[Attendance ]]&gt;65,Sheet1[[#This Row],[Attendance ]]&lt;75),"Yes","No")</f>
        <v>No</v>
      </c>
      <c r="J621" t="str">
        <f>IF(Sheet1[[#This Row],[Attendance ]]&lt;65,"Yes","No")</f>
        <v>No</v>
      </c>
    </row>
    <row r="622" spans="1:12" hidden="1" x14ac:dyDescent="0.35">
      <c r="A622" t="s">
        <v>663</v>
      </c>
      <c r="B622" t="s">
        <v>164</v>
      </c>
      <c r="C622" t="s">
        <v>23</v>
      </c>
      <c r="D622">
        <v>93.43</v>
      </c>
      <c r="E622" t="s">
        <v>5</v>
      </c>
      <c r="F622">
        <v>7.58</v>
      </c>
      <c r="G622" t="s">
        <v>11</v>
      </c>
      <c r="H622" t="str">
        <f t="shared" si="57"/>
        <v>Passed</v>
      </c>
      <c r="I622" t="str">
        <f>IF(AND(Sheet1[[#This Row],[Attendance ]]&gt;65,Sheet1[[#This Row],[Attendance ]]&lt;75),"Yes","No")</f>
        <v>No</v>
      </c>
      <c r="J622" t="str">
        <f>IF(Sheet1[[#This Row],[Attendance ]]&lt;65,"Yes","No")</f>
        <v>No</v>
      </c>
    </row>
    <row r="623" spans="1:12" hidden="1" x14ac:dyDescent="0.35">
      <c r="A623" t="s">
        <v>664</v>
      </c>
      <c r="B623" t="s">
        <v>25</v>
      </c>
      <c r="C623" t="s">
        <v>4</v>
      </c>
      <c r="D623">
        <v>80.69</v>
      </c>
      <c r="E623" t="s">
        <v>5</v>
      </c>
      <c r="F623">
        <v>9</v>
      </c>
      <c r="G623" t="s">
        <v>28</v>
      </c>
      <c r="H623" t="str">
        <f t="shared" si="57"/>
        <v>Passed</v>
      </c>
      <c r="I623" t="str">
        <f>IF(AND(Sheet1[[#This Row],[Attendance ]]&gt;65,Sheet1[[#This Row],[Attendance ]]&lt;75),"Yes","No")</f>
        <v>No</v>
      </c>
      <c r="J623" t="str">
        <f>IF(Sheet1[[#This Row],[Attendance ]]&lt;65,"Yes","No")</f>
        <v>No</v>
      </c>
    </row>
    <row r="624" spans="1:12" hidden="1" x14ac:dyDescent="0.35">
      <c r="A624" t="s">
        <v>665</v>
      </c>
      <c r="B624" t="s">
        <v>8</v>
      </c>
      <c r="C624" t="s">
        <v>23</v>
      </c>
      <c r="D624">
        <v>91.54</v>
      </c>
      <c r="E624" t="s">
        <v>5</v>
      </c>
      <c r="F624">
        <v>8.84</v>
      </c>
      <c r="G624" t="s">
        <v>28</v>
      </c>
      <c r="H624" t="str">
        <f t="shared" si="57"/>
        <v>Passed</v>
      </c>
      <c r="I624" t="str">
        <f>IF(AND(Sheet1[[#This Row],[Attendance ]]&gt;65,Sheet1[[#This Row],[Attendance ]]&lt;75),"Yes","No")</f>
        <v>No</v>
      </c>
      <c r="J624" t="str">
        <f>IF(Sheet1[[#This Row],[Attendance ]]&lt;65,"Yes","No")</f>
        <v>No</v>
      </c>
    </row>
    <row r="625" spans="1:12" hidden="1" x14ac:dyDescent="0.35">
      <c r="A625" t="s">
        <v>666</v>
      </c>
      <c r="B625" t="s">
        <v>98</v>
      </c>
      <c r="C625" t="s">
        <v>13</v>
      </c>
      <c r="D625">
        <v>99.54</v>
      </c>
      <c r="E625" t="s">
        <v>5</v>
      </c>
      <c r="F625">
        <v>7.79</v>
      </c>
      <c r="G625" t="s">
        <v>11</v>
      </c>
      <c r="H625" t="str">
        <f t="shared" si="57"/>
        <v>Passed</v>
      </c>
      <c r="I625" t="str">
        <f>IF(AND(Sheet1[[#This Row],[Attendance ]]&gt;65,Sheet1[[#This Row],[Attendance ]]&lt;75),"Yes","No")</f>
        <v>No</v>
      </c>
      <c r="J625" t="str">
        <f>IF(Sheet1[[#This Row],[Attendance ]]&lt;65,"Yes","No")</f>
        <v>No</v>
      </c>
    </row>
    <row r="626" spans="1:12" hidden="1" x14ac:dyDescent="0.35">
      <c r="A626" t="s">
        <v>667</v>
      </c>
      <c r="B626" t="s">
        <v>25</v>
      </c>
      <c r="C626" t="s">
        <v>13</v>
      </c>
      <c r="D626">
        <v>62.8</v>
      </c>
      <c r="E626" t="s">
        <v>5</v>
      </c>
      <c r="F626">
        <v>6.05</v>
      </c>
      <c r="G626" t="s">
        <v>28</v>
      </c>
      <c r="H626" t="str">
        <f t="shared" si="57"/>
        <v>Passed</v>
      </c>
      <c r="I626" t="str">
        <f>IF(AND(Sheet1[[#This Row],[Attendance ]]&gt;65,Sheet1[[#This Row],[Attendance ]]&lt;75),"Yes","No")</f>
        <v>No</v>
      </c>
      <c r="J626" t="str">
        <f>IF(Sheet1[[#This Row],[Attendance ]]&lt;65,"Yes","No")</f>
        <v>Yes</v>
      </c>
    </row>
    <row r="627" spans="1:12" hidden="1" x14ac:dyDescent="0.35">
      <c r="A627" t="s">
        <v>668</v>
      </c>
      <c r="B627" t="s">
        <v>3</v>
      </c>
      <c r="C627" t="s">
        <v>9</v>
      </c>
      <c r="D627">
        <v>60.29</v>
      </c>
      <c r="E627" t="s">
        <v>5</v>
      </c>
      <c r="F627">
        <v>6.88</v>
      </c>
      <c r="G627" t="s">
        <v>28</v>
      </c>
      <c r="H627" t="str">
        <f t="shared" si="57"/>
        <v>Passed</v>
      </c>
      <c r="I627" t="str">
        <f>IF(AND(Sheet1[[#This Row],[Attendance ]]&gt;65,Sheet1[[#This Row],[Attendance ]]&lt;75),"Yes","No")</f>
        <v>No</v>
      </c>
      <c r="J627" t="str">
        <f>IF(Sheet1[[#This Row],[Attendance ]]&lt;65,"Yes","No")</f>
        <v>Yes</v>
      </c>
    </row>
    <row r="628" spans="1:12" x14ac:dyDescent="0.35">
      <c r="A628" t="s">
        <v>669</v>
      </c>
      <c r="B628" t="s">
        <v>30</v>
      </c>
      <c r="C628" t="s">
        <v>20</v>
      </c>
      <c r="D628">
        <v>74.41</v>
      </c>
      <c r="E628" t="s">
        <v>5</v>
      </c>
      <c r="F628">
        <v>9.66</v>
      </c>
      <c r="G628" t="s">
        <v>6</v>
      </c>
      <c r="H628" t="str">
        <f t="shared" si="57"/>
        <v>Passed</v>
      </c>
      <c r="I628" t="str">
        <f>IF(AND(Sheet1[[#This Row],[Attendance ]]&gt;65,Sheet1[[#This Row],[Attendance ]]&lt;75),"Yes","No")</f>
        <v>Yes</v>
      </c>
      <c r="J628" t="str">
        <f>IF(Sheet1[[#This Row],[Attendance ]]&lt;65,"Yes","No")</f>
        <v>No</v>
      </c>
      <c r="K628" t="str">
        <f>CHOOSE(MOD(ROW()-2,8)+1,
"Kadapa",
"Ananthapur",
"Rayachoti",
"Nellore",
"Chittoor",
"Madanapalli",
"Rajampeta",
"Tirupati")</f>
        <v>Rayachoti</v>
      </c>
      <c r="L628" t="str">
        <f>IF(AND(G626="4th Year",E626="Pass",F626&gt;=7),"Yes","No")</f>
        <v>No</v>
      </c>
    </row>
    <row r="629" spans="1:12" hidden="1" x14ac:dyDescent="0.35">
      <c r="A629" t="s">
        <v>670</v>
      </c>
      <c r="B629" t="s">
        <v>77</v>
      </c>
      <c r="C629" t="s">
        <v>20</v>
      </c>
      <c r="D629">
        <v>94.95</v>
      </c>
      <c r="E629" t="s">
        <v>10</v>
      </c>
      <c r="F629">
        <v>8.43</v>
      </c>
      <c r="G629" t="s">
        <v>26</v>
      </c>
      <c r="H629" t="str">
        <f t="shared" si="57"/>
        <v>Deep Learning</v>
      </c>
      <c r="I629" t="str">
        <f>IF(AND(Sheet1[[#This Row],[Attendance ]]&gt;65,Sheet1[[#This Row],[Attendance ]]&lt;75),"Yes","No")</f>
        <v>No</v>
      </c>
      <c r="J629" t="str">
        <f>IF(Sheet1[[#This Row],[Attendance ]]&lt;65,"Yes","No")</f>
        <v>No</v>
      </c>
    </row>
    <row r="630" spans="1:12" hidden="1" x14ac:dyDescent="0.35">
      <c r="A630" t="s">
        <v>671</v>
      </c>
      <c r="B630" t="s">
        <v>72</v>
      </c>
      <c r="C630" t="s">
        <v>20</v>
      </c>
      <c r="D630">
        <v>63.1</v>
      </c>
      <c r="E630" t="s">
        <v>5</v>
      </c>
      <c r="F630">
        <v>5.66</v>
      </c>
      <c r="G630" t="s">
        <v>6</v>
      </c>
      <c r="H630" t="str">
        <f t="shared" si="57"/>
        <v>Passed</v>
      </c>
      <c r="I630" t="str">
        <f>IF(AND(Sheet1[[#This Row],[Attendance ]]&gt;65,Sheet1[[#This Row],[Attendance ]]&lt;75),"Yes","No")</f>
        <v>No</v>
      </c>
      <c r="J630" t="str">
        <f>IF(Sheet1[[#This Row],[Attendance ]]&lt;65,"Yes","No")</f>
        <v>Yes</v>
      </c>
    </row>
    <row r="631" spans="1:12" x14ac:dyDescent="0.35">
      <c r="A631" t="s">
        <v>672</v>
      </c>
      <c r="B631" t="s">
        <v>63</v>
      </c>
      <c r="C631" t="s">
        <v>13</v>
      </c>
      <c r="D631">
        <v>73.8</v>
      </c>
      <c r="E631" t="s">
        <v>5</v>
      </c>
      <c r="F631">
        <v>5.07</v>
      </c>
      <c r="G631" t="s">
        <v>26</v>
      </c>
      <c r="H631" t="str">
        <f t="shared" si="57"/>
        <v>Passed</v>
      </c>
      <c r="I631" t="str">
        <f>IF(AND(Sheet1[[#This Row],[Attendance ]]&gt;65,Sheet1[[#This Row],[Attendance ]]&lt;75),"Yes","No")</f>
        <v>Yes</v>
      </c>
      <c r="J631" t="str">
        <f>IF(Sheet1[[#This Row],[Attendance ]]&lt;65,"Yes","No")</f>
        <v>No</v>
      </c>
      <c r="K631" t="str">
        <f t="shared" ref="K631:K633" si="64">CHOOSE(MOD(ROW()-2,8)+1,
"Kadapa",
"Ananthapur",
"Rayachoti",
"Nellore",
"Chittoor",
"Madanapalli",
"Rajampeta",
"Tirupati")</f>
        <v>Madanapalli</v>
      </c>
      <c r="L631" t="str">
        <f t="shared" ref="L631:L633" si="65">IF(AND(G629="4th Year",E629="Pass",F629&gt;=7),"Yes","No")</f>
        <v>No</v>
      </c>
    </row>
    <row r="632" spans="1:12" x14ac:dyDescent="0.35">
      <c r="A632" t="s">
        <v>673</v>
      </c>
      <c r="B632" t="s">
        <v>45</v>
      </c>
      <c r="C632" t="s">
        <v>35</v>
      </c>
      <c r="D632">
        <v>71.099999999999994</v>
      </c>
      <c r="E632" t="s">
        <v>5</v>
      </c>
      <c r="F632">
        <v>7.71</v>
      </c>
      <c r="G632" t="s">
        <v>26</v>
      </c>
      <c r="H632" t="str">
        <f t="shared" si="57"/>
        <v>Passed</v>
      </c>
      <c r="I632" t="str">
        <f>IF(AND(Sheet1[[#This Row],[Attendance ]]&gt;65,Sheet1[[#This Row],[Attendance ]]&lt;75),"Yes","No")</f>
        <v>Yes</v>
      </c>
      <c r="J632" t="str">
        <f>IF(Sheet1[[#This Row],[Attendance ]]&lt;65,"Yes","No")</f>
        <v>No</v>
      </c>
      <c r="K632" t="str">
        <f t="shared" si="64"/>
        <v>Rajampeta</v>
      </c>
      <c r="L632" t="str">
        <f t="shared" si="65"/>
        <v>No</v>
      </c>
    </row>
    <row r="633" spans="1:12" x14ac:dyDescent="0.35">
      <c r="A633" t="s">
        <v>674</v>
      </c>
      <c r="B633" t="s">
        <v>15</v>
      </c>
      <c r="C633" t="s">
        <v>35</v>
      </c>
      <c r="D633">
        <v>65.13</v>
      </c>
      <c r="E633" t="s">
        <v>5</v>
      </c>
      <c r="F633">
        <v>9.14</v>
      </c>
      <c r="G633" t="s">
        <v>26</v>
      </c>
      <c r="H633" t="str">
        <f t="shared" si="57"/>
        <v>Passed</v>
      </c>
      <c r="I633" t="str">
        <f>IF(AND(Sheet1[[#This Row],[Attendance ]]&gt;65,Sheet1[[#This Row],[Attendance ]]&lt;75),"Yes","No")</f>
        <v>Yes</v>
      </c>
      <c r="J633" t="str">
        <f>IF(Sheet1[[#This Row],[Attendance ]]&lt;65,"Yes","No")</f>
        <v>No</v>
      </c>
      <c r="K633" t="str">
        <f t="shared" si="64"/>
        <v>Tirupati</v>
      </c>
      <c r="L633" t="str">
        <f t="shared" si="65"/>
        <v>No</v>
      </c>
    </row>
    <row r="634" spans="1:12" hidden="1" x14ac:dyDescent="0.35">
      <c r="A634" t="s">
        <v>675</v>
      </c>
      <c r="B634" t="s">
        <v>70</v>
      </c>
      <c r="C634" t="s">
        <v>13</v>
      </c>
      <c r="D634">
        <v>80.23</v>
      </c>
      <c r="E634" t="s">
        <v>5</v>
      </c>
      <c r="F634">
        <v>5.35</v>
      </c>
      <c r="G634" t="s">
        <v>28</v>
      </c>
      <c r="H634" t="str">
        <f t="shared" si="57"/>
        <v>Passed</v>
      </c>
      <c r="I634" t="str">
        <f>IF(AND(Sheet1[[#This Row],[Attendance ]]&gt;65,Sheet1[[#This Row],[Attendance ]]&lt;75),"Yes","No")</f>
        <v>No</v>
      </c>
      <c r="J634" t="str">
        <f>IF(Sheet1[[#This Row],[Attendance ]]&lt;65,"Yes","No")</f>
        <v>No</v>
      </c>
    </row>
    <row r="635" spans="1:12" hidden="1" x14ac:dyDescent="0.35">
      <c r="A635" t="s">
        <v>676</v>
      </c>
      <c r="B635" t="s">
        <v>25</v>
      </c>
      <c r="C635" t="s">
        <v>4</v>
      </c>
      <c r="D635">
        <v>92.1</v>
      </c>
      <c r="E635" t="s">
        <v>10</v>
      </c>
      <c r="F635">
        <v>8.74</v>
      </c>
      <c r="G635" t="s">
        <v>11</v>
      </c>
      <c r="H635" t="str">
        <f t="shared" si="57"/>
        <v>M1</v>
      </c>
      <c r="I635" t="str">
        <f>IF(AND(Sheet1[[#This Row],[Attendance ]]&gt;65,Sheet1[[#This Row],[Attendance ]]&lt;75),"Yes","No")</f>
        <v>No</v>
      </c>
      <c r="J635" t="str">
        <f>IF(Sheet1[[#This Row],[Attendance ]]&lt;65,"Yes","No")</f>
        <v>No</v>
      </c>
    </row>
    <row r="636" spans="1:12" hidden="1" x14ac:dyDescent="0.35">
      <c r="A636" t="s">
        <v>677</v>
      </c>
      <c r="B636" t="s">
        <v>8</v>
      </c>
      <c r="C636" t="s">
        <v>9</v>
      </c>
      <c r="D636">
        <v>82.6</v>
      </c>
      <c r="E636" t="s">
        <v>10</v>
      </c>
      <c r="F636">
        <v>9.33</v>
      </c>
      <c r="G636" t="s">
        <v>28</v>
      </c>
      <c r="H636" t="str">
        <f t="shared" si="57"/>
        <v>Machine Learning</v>
      </c>
      <c r="I636" t="str">
        <f>IF(AND(Sheet1[[#This Row],[Attendance ]]&gt;65,Sheet1[[#This Row],[Attendance ]]&lt;75),"Yes","No")</f>
        <v>No</v>
      </c>
      <c r="J636" t="str">
        <f>IF(Sheet1[[#This Row],[Attendance ]]&lt;65,"Yes","No")</f>
        <v>No</v>
      </c>
    </row>
    <row r="637" spans="1:12" hidden="1" x14ac:dyDescent="0.35">
      <c r="A637" t="s">
        <v>678</v>
      </c>
      <c r="B637" t="s">
        <v>17</v>
      </c>
      <c r="C637" t="s">
        <v>20</v>
      </c>
      <c r="D637">
        <v>80.540000000000006</v>
      </c>
      <c r="E637" t="s">
        <v>5</v>
      </c>
      <c r="F637">
        <v>5.69</v>
      </c>
      <c r="G637" t="s">
        <v>6</v>
      </c>
      <c r="H637" t="str">
        <f t="shared" si="57"/>
        <v>Passed</v>
      </c>
      <c r="I637" t="str">
        <f>IF(AND(Sheet1[[#This Row],[Attendance ]]&gt;65,Sheet1[[#This Row],[Attendance ]]&lt;75),"Yes","No")</f>
        <v>No</v>
      </c>
      <c r="J637" t="str">
        <f>IF(Sheet1[[#This Row],[Attendance ]]&lt;65,"Yes","No")</f>
        <v>No</v>
      </c>
    </row>
    <row r="638" spans="1:12" hidden="1" x14ac:dyDescent="0.35">
      <c r="A638" t="s">
        <v>679</v>
      </c>
      <c r="B638" t="s">
        <v>45</v>
      </c>
      <c r="C638" t="s">
        <v>4</v>
      </c>
      <c r="D638">
        <v>91.99</v>
      </c>
      <c r="E638" t="s">
        <v>10</v>
      </c>
      <c r="F638">
        <v>8.06</v>
      </c>
      <c r="G638" t="s">
        <v>28</v>
      </c>
      <c r="H638" t="str">
        <f t="shared" si="57"/>
        <v>Machine Learning</v>
      </c>
      <c r="I638" t="str">
        <f>IF(AND(Sheet1[[#This Row],[Attendance ]]&gt;65,Sheet1[[#This Row],[Attendance ]]&lt;75),"Yes","No")</f>
        <v>No</v>
      </c>
      <c r="J638" t="str">
        <f>IF(Sheet1[[#This Row],[Attendance ]]&lt;65,"Yes","No")</f>
        <v>No</v>
      </c>
    </row>
    <row r="639" spans="1:12" hidden="1" x14ac:dyDescent="0.35">
      <c r="A639" t="s">
        <v>680</v>
      </c>
      <c r="B639" t="s">
        <v>22</v>
      </c>
      <c r="C639" t="s">
        <v>35</v>
      </c>
      <c r="D639">
        <v>60.96</v>
      </c>
      <c r="E639" t="s">
        <v>5</v>
      </c>
      <c r="F639">
        <v>6.77</v>
      </c>
      <c r="G639" t="s">
        <v>26</v>
      </c>
      <c r="H639" t="str">
        <f t="shared" si="57"/>
        <v>Passed</v>
      </c>
      <c r="I639" t="str">
        <f>IF(AND(Sheet1[[#This Row],[Attendance ]]&gt;65,Sheet1[[#This Row],[Attendance ]]&lt;75),"Yes","No")</f>
        <v>No</v>
      </c>
      <c r="J639" t="str">
        <f>IF(Sheet1[[#This Row],[Attendance ]]&lt;65,"Yes","No")</f>
        <v>Yes</v>
      </c>
    </row>
    <row r="640" spans="1:12" hidden="1" x14ac:dyDescent="0.35">
      <c r="A640" t="s">
        <v>681</v>
      </c>
      <c r="B640" t="s">
        <v>32</v>
      </c>
      <c r="C640" t="s">
        <v>35</v>
      </c>
      <c r="D640">
        <v>62.92</v>
      </c>
      <c r="E640" t="s">
        <v>5</v>
      </c>
      <c r="F640">
        <v>6.15</v>
      </c>
      <c r="G640" t="s">
        <v>28</v>
      </c>
      <c r="H640" t="str">
        <f t="shared" si="57"/>
        <v>Passed</v>
      </c>
      <c r="I640" t="str">
        <f>IF(AND(Sheet1[[#This Row],[Attendance ]]&gt;65,Sheet1[[#This Row],[Attendance ]]&lt;75),"Yes","No")</f>
        <v>No</v>
      </c>
      <c r="J640" t="str">
        <f>IF(Sheet1[[#This Row],[Attendance ]]&lt;65,"Yes","No")</f>
        <v>Yes</v>
      </c>
    </row>
    <row r="641" spans="1:12" x14ac:dyDescent="0.35">
      <c r="A641" t="s">
        <v>682</v>
      </c>
      <c r="B641" t="s">
        <v>149</v>
      </c>
      <c r="C641" t="s">
        <v>4</v>
      </c>
      <c r="D641">
        <v>73.08</v>
      </c>
      <c r="E641" t="s">
        <v>5</v>
      </c>
      <c r="F641">
        <v>9.19</v>
      </c>
      <c r="G641" t="s">
        <v>26</v>
      </c>
      <c r="H641" t="str">
        <f t="shared" si="57"/>
        <v>Passed</v>
      </c>
      <c r="I641" t="str">
        <f>IF(AND(Sheet1[[#This Row],[Attendance ]]&gt;65,Sheet1[[#This Row],[Attendance ]]&lt;75),"Yes","No")</f>
        <v>Yes</v>
      </c>
      <c r="J641" t="str">
        <f>IF(Sheet1[[#This Row],[Attendance ]]&lt;65,"Yes","No")</f>
        <v>No</v>
      </c>
      <c r="K641" t="str">
        <f t="shared" ref="K641:K643" si="66">CHOOSE(MOD(ROW()-2,8)+1,
"Kadapa",
"Ananthapur",
"Rayachoti",
"Nellore",
"Chittoor",
"Madanapalli",
"Rajampeta",
"Tirupati")</f>
        <v>Tirupati</v>
      </c>
      <c r="L641" t="str">
        <f t="shared" ref="L641:L643" si="67">IF(AND(G639="4th Year",E639="Pass",F639&gt;=7),"Yes","No")</f>
        <v>No</v>
      </c>
    </row>
    <row r="642" spans="1:12" x14ac:dyDescent="0.35">
      <c r="A642" t="s">
        <v>683</v>
      </c>
      <c r="B642" t="s">
        <v>63</v>
      </c>
      <c r="C642" t="s">
        <v>4</v>
      </c>
      <c r="D642">
        <v>68.790000000000006</v>
      </c>
      <c r="E642" t="s">
        <v>5</v>
      </c>
      <c r="F642">
        <v>5.64</v>
      </c>
      <c r="G642" t="s">
        <v>11</v>
      </c>
      <c r="H642" t="str">
        <f t="shared" ref="H642:H705" si="68">IF(E642="Pass","Passed",
IF(G642="1st Year","M1",
IF(G642="2nd Year","DBMS",
IF(G642="3rd Year","Machine Learning",
IF(G642="4th Year","Deep Learning","")))))</f>
        <v>Passed</v>
      </c>
      <c r="I642" t="str">
        <f>IF(AND(Sheet1[[#This Row],[Attendance ]]&gt;65,Sheet1[[#This Row],[Attendance ]]&lt;75),"Yes","No")</f>
        <v>Yes</v>
      </c>
      <c r="J642" t="str">
        <f>IF(Sheet1[[#This Row],[Attendance ]]&lt;65,"Yes","No")</f>
        <v>No</v>
      </c>
      <c r="K642" t="str">
        <f t="shared" si="66"/>
        <v>Kadapa</v>
      </c>
      <c r="L642" t="str">
        <f t="shared" si="67"/>
        <v>No</v>
      </c>
    </row>
    <row r="643" spans="1:12" x14ac:dyDescent="0.35">
      <c r="A643" t="s">
        <v>684</v>
      </c>
      <c r="B643" t="s">
        <v>110</v>
      </c>
      <c r="C643" t="s">
        <v>20</v>
      </c>
      <c r="D643">
        <v>68.209999999999994</v>
      </c>
      <c r="E643" t="s">
        <v>5</v>
      </c>
      <c r="F643">
        <v>7.88</v>
      </c>
      <c r="G643" t="s">
        <v>6</v>
      </c>
      <c r="H643" t="str">
        <f t="shared" si="68"/>
        <v>Passed</v>
      </c>
      <c r="I643" t="str">
        <f>IF(AND(Sheet1[[#This Row],[Attendance ]]&gt;65,Sheet1[[#This Row],[Attendance ]]&lt;75),"Yes","No")</f>
        <v>Yes</v>
      </c>
      <c r="J643" t="str">
        <f>IF(Sheet1[[#This Row],[Attendance ]]&lt;65,"Yes","No")</f>
        <v>No</v>
      </c>
      <c r="K643" t="str">
        <f t="shared" si="66"/>
        <v>Ananthapur</v>
      </c>
      <c r="L643" t="str">
        <f t="shared" si="67"/>
        <v>Yes</v>
      </c>
    </row>
    <row r="644" spans="1:12" hidden="1" x14ac:dyDescent="0.35">
      <c r="A644" t="s">
        <v>685</v>
      </c>
      <c r="B644" t="s">
        <v>39</v>
      </c>
      <c r="C644" t="s">
        <v>20</v>
      </c>
      <c r="D644">
        <v>93.09</v>
      </c>
      <c r="E644" t="s">
        <v>5</v>
      </c>
      <c r="F644">
        <v>6.78</v>
      </c>
      <c r="G644" t="s">
        <v>26</v>
      </c>
      <c r="H644" t="str">
        <f t="shared" si="68"/>
        <v>Passed</v>
      </c>
      <c r="I644" t="str">
        <f>IF(AND(Sheet1[[#This Row],[Attendance ]]&gt;65,Sheet1[[#This Row],[Attendance ]]&lt;75),"Yes","No")</f>
        <v>No</v>
      </c>
      <c r="J644" t="str">
        <f>IF(Sheet1[[#This Row],[Attendance ]]&lt;65,"Yes","No")</f>
        <v>No</v>
      </c>
    </row>
    <row r="645" spans="1:12" hidden="1" x14ac:dyDescent="0.35">
      <c r="A645" t="s">
        <v>686</v>
      </c>
      <c r="B645" t="s">
        <v>3</v>
      </c>
      <c r="C645" t="s">
        <v>13</v>
      </c>
      <c r="D645">
        <v>76.94</v>
      </c>
      <c r="E645" t="s">
        <v>5</v>
      </c>
      <c r="F645">
        <v>7.03</v>
      </c>
      <c r="G645" t="s">
        <v>11</v>
      </c>
      <c r="H645" t="str">
        <f t="shared" si="68"/>
        <v>Passed</v>
      </c>
      <c r="I645" t="str">
        <f>IF(AND(Sheet1[[#This Row],[Attendance ]]&gt;65,Sheet1[[#This Row],[Attendance ]]&lt;75),"Yes","No")</f>
        <v>No</v>
      </c>
      <c r="J645" t="str">
        <f>IF(Sheet1[[#This Row],[Attendance ]]&lt;65,"Yes","No")</f>
        <v>No</v>
      </c>
    </row>
    <row r="646" spans="1:12" x14ac:dyDescent="0.35">
      <c r="A646" t="s">
        <v>687</v>
      </c>
      <c r="B646" t="s">
        <v>149</v>
      </c>
      <c r="C646" t="s">
        <v>13</v>
      </c>
      <c r="D646">
        <v>69.930000000000007</v>
      </c>
      <c r="E646" t="s">
        <v>5</v>
      </c>
      <c r="F646">
        <v>6.06</v>
      </c>
      <c r="G646" t="s">
        <v>6</v>
      </c>
      <c r="H646" t="str">
        <f t="shared" si="68"/>
        <v>Passed</v>
      </c>
      <c r="I646" t="str">
        <f>IF(AND(Sheet1[[#This Row],[Attendance ]]&gt;65,Sheet1[[#This Row],[Attendance ]]&lt;75),"Yes","No")</f>
        <v>Yes</v>
      </c>
      <c r="J646" t="str">
        <f>IF(Sheet1[[#This Row],[Attendance ]]&lt;65,"Yes","No")</f>
        <v>No</v>
      </c>
      <c r="K646" t="str">
        <f t="shared" ref="K646:K647" si="69">CHOOSE(MOD(ROW()-2,8)+1,
"Kadapa",
"Ananthapur",
"Rayachoti",
"Nellore",
"Chittoor",
"Madanapalli",
"Rajampeta",
"Tirupati")</f>
        <v>Chittoor</v>
      </c>
      <c r="L646" t="str">
        <f t="shared" ref="L646:L647" si="70">IF(AND(G644="4th Year",E644="Pass",F644&gt;=7),"Yes","No")</f>
        <v>No</v>
      </c>
    </row>
    <row r="647" spans="1:12" x14ac:dyDescent="0.35">
      <c r="A647" t="s">
        <v>688</v>
      </c>
      <c r="B647" t="s">
        <v>3</v>
      </c>
      <c r="C647" t="s">
        <v>35</v>
      </c>
      <c r="D647">
        <v>74.36</v>
      </c>
      <c r="E647" t="s">
        <v>5</v>
      </c>
      <c r="F647">
        <v>7.74</v>
      </c>
      <c r="G647" t="s">
        <v>26</v>
      </c>
      <c r="H647" t="str">
        <f t="shared" si="68"/>
        <v>Passed</v>
      </c>
      <c r="I647" t="str">
        <f>IF(AND(Sheet1[[#This Row],[Attendance ]]&gt;65,Sheet1[[#This Row],[Attendance ]]&lt;75),"Yes","No")</f>
        <v>Yes</v>
      </c>
      <c r="J647" t="str">
        <f>IF(Sheet1[[#This Row],[Attendance ]]&lt;65,"Yes","No")</f>
        <v>No</v>
      </c>
      <c r="K647" t="str">
        <f t="shared" si="69"/>
        <v>Madanapalli</v>
      </c>
      <c r="L647" t="str">
        <f t="shared" si="70"/>
        <v>No</v>
      </c>
    </row>
    <row r="648" spans="1:12" hidden="1" x14ac:dyDescent="0.35">
      <c r="A648" t="s">
        <v>689</v>
      </c>
      <c r="B648" t="s">
        <v>17</v>
      </c>
      <c r="C648" t="s">
        <v>20</v>
      </c>
      <c r="D648">
        <v>62.81</v>
      </c>
      <c r="E648" t="s">
        <v>5</v>
      </c>
      <c r="F648">
        <v>7.96</v>
      </c>
      <c r="G648" t="s">
        <v>26</v>
      </c>
      <c r="H648" t="str">
        <f t="shared" si="68"/>
        <v>Passed</v>
      </c>
      <c r="I648" t="str">
        <f>IF(AND(Sheet1[[#This Row],[Attendance ]]&gt;65,Sheet1[[#This Row],[Attendance ]]&lt;75),"Yes","No")</f>
        <v>No</v>
      </c>
      <c r="J648" t="str">
        <f>IF(Sheet1[[#This Row],[Attendance ]]&lt;65,"Yes","No")</f>
        <v>Yes</v>
      </c>
    </row>
    <row r="649" spans="1:12" hidden="1" x14ac:dyDescent="0.35">
      <c r="A649" t="s">
        <v>690</v>
      </c>
      <c r="B649" t="s">
        <v>30</v>
      </c>
      <c r="C649" t="s">
        <v>13</v>
      </c>
      <c r="D649">
        <v>76.78</v>
      </c>
      <c r="E649" t="s">
        <v>5</v>
      </c>
      <c r="F649">
        <v>6.31</v>
      </c>
      <c r="G649" t="s">
        <v>26</v>
      </c>
      <c r="H649" t="str">
        <f t="shared" si="68"/>
        <v>Passed</v>
      </c>
      <c r="I649" t="str">
        <f>IF(AND(Sheet1[[#This Row],[Attendance ]]&gt;65,Sheet1[[#This Row],[Attendance ]]&lt;75),"Yes","No")</f>
        <v>No</v>
      </c>
      <c r="J649" t="str">
        <f>IF(Sheet1[[#This Row],[Attendance ]]&lt;65,"Yes","No")</f>
        <v>No</v>
      </c>
    </row>
    <row r="650" spans="1:12" hidden="1" x14ac:dyDescent="0.35">
      <c r="A650" t="s">
        <v>691</v>
      </c>
      <c r="B650" t="s">
        <v>98</v>
      </c>
      <c r="C650" t="s">
        <v>9</v>
      </c>
      <c r="D650">
        <v>83.85</v>
      </c>
      <c r="E650" t="s">
        <v>5</v>
      </c>
      <c r="F650">
        <v>7.96</v>
      </c>
      <c r="G650" t="s">
        <v>6</v>
      </c>
      <c r="H650" t="str">
        <f t="shared" si="68"/>
        <v>Passed</v>
      </c>
      <c r="I650" t="str">
        <f>IF(AND(Sheet1[[#This Row],[Attendance ]]&gt;65,Sheet1[[#This Row],[Attendance ]]&lt;75),"Yes","No")</f>
        <v>No</v>
      </c>
      <c r="J650" t="str">
        <f>IF(Sheet1[[#This Row],[Attendance ]]&lt;65,"Yes","No")</f>
        <v>No</v>
      </c>
    </row>
    <row r="651" spans="1:12" x14ac:dyDescent="0.35">
      <c r="A651" t="s">
        <v>692</v>
      </c>
      <c r="B651" t="s">
        <v>43</v>
      </c>
      <c r="C651" t="s">
        <v>23</v>
      </c>
      <c r="D651">
        <v>68.28</v>
      </c>
      <c r="E651" t="s">
        <v>5</v>
      </c>
      <c r="F651">
        <v>8.3699999999999992</v>
      </c>
      <c r="G651" t="s">
        <v>26</v>
      </c>
      <c r="H651" t="str">
        <f t="shared" si="68"/>
        <v>Passed</v>
      </c>
      <c r="I651" t="str">
        <f>IF(AND(Sheet1[[#This Row],[Attendance ]]&gt;65,Sheet1[[#This Row],[Attendance ]]&lt;75),"Yes","No")</f>
        <v>Yes</v>
      </c>
      <c r="J651" t="str">
        <f>IF(Sheet1[[#This Row],[Attendance ]]&lt;65,"Yes","No")</f>
        <v>No</v>
      </c>
      <c r="K651" t="str">
        <f>CHOOSE(MOD(ROW()-2,8)+1,
"Kadapa",
"Ananthapur",
"Rayachoti",
"Nellore",
"Chittoor",
"Madanapalli",
"Rajampeta",
"Tirupati")</f>
        <v>Ananthapur</v>
      </c>
      <c r="L651" t="str">
        <f>IF(AND(G649="4th Year",E649="Pass",F649&gt;=7),"Yes","No")</f>
        <v>No</v>
      </c>
    </row>
    <row r="652" spans="1:12" hidden="1" x14ac:dyDescent="0.35">
      <c r="A652" t="s">
        <v>693</v>
      </c>
      <c r="B652" t="s">
        <v>103</v>
      </c>
      <c r="C652" t="s">
        <v>9</v>
      </c>
      <c r="D652">
        <v>89.55</v>
      </c>
      <c r="E652" t="s">
        <v>5</v>
      </c>
      <c r="F652">
        <v>5.05</v>
      </c>
      <c r="G652" t="s">
        <v>26</v>
      </c>
      <c r="H652" t="str">
        <f t="shared" si="68"/>
        <v>Passed</v>
      </c>
      <c r="I652" t="str">
        <f>IF(AND(Sheet1[[#This Row],[Attendance ]]&gt;65,Sheet1[[#This Row],[Attendance ]]&lt;75),"Yes","No")</f>
        <v>No</v>
      </c>
      <c r="J652" t="str">
        <f>IF(Sheet1[[#This Row],[Attendance ]]&lt;65,"Yes","No")</f>
        <v>No</v>
      </c>
    </row>
    <row r="653" spans="1:12" hidden="1" x14ac:dyDescent="0.35">
      <c r="A653" t="s">
        <v>694</v>
      </c>
      <c r="B653" t="s">
        <v>51</v>
      </c>
      <c r="C653" t="s">
        <v>13</v>
      </c>
      <c r="D653">
        <v>84.06</v>
      </c>
      <c r="E653" t="s">
        <v>5</v>
      </c>
      <c r="F653">
        <v>6</v>
      </c>
      <c r="G653" t="s">
        <v>26</v>
      </c>
      <c r="H653" t="str">
        <f t="shared" si="68"/>
        <v>Passed</v>
      </c>
      <c r="I653" t="str">
        <f>IF(AND(Sheet1[[#This Row],[Attendance ]]&gt;65,Sheet1[[#This Row],[Attendance ]]&lt;75),"Yes","No")</f>
        <v>No</v>
      </c>
      <c r="J653" t="str">
        <f>IF(Sheet1[[#This Row],[Attendance ]]&lt;65,"Yes","No")</f>
        <v>No</v>
      </c>
    </row>
    <row r="654" spans="1:12" hidden="1" x14ac:dyDescent="0.35">
      <c r="A654" t="s">
        <v>695</v>
      </c>
      <c r="B654" t="s">
        <v>110</v>
      </c>
      <c r="C654" t="s">
        <v>20</v>
      </c>
      <c r="D654">
        <v>94.69</v>
      </c>
      <c r="E654" t="s">
        <v>5</v>
      </c>
      <c r="F654">
        <v>9.15</v>
      </c>
      <c r="G654" t="s">
        <v>28</v>
      </c>
      <c r="H654" t="str">
        <f t="shared" si="68"/>
        <v>Passed</v>
      </c>
      <c r="I654" t="str">
        <f>IF(AND(Sheet1[[#This Row],[Attendance ]]&gt;65,Sheet1[[#This Row],[Attendance ]]&lt;75),"Yes","No")</f>
        <v>No</v>
      </c>
      <c r="J654" t="str">
        <f>IF(Sheet1[[#This Row],[Attendance ]]&lt;65,"Yes","No")</f>
        <v>No</v>
      </c>
    </row>
    <row r="655" spans="1:12" hidden="1" x14ac:dyDescent="0.35">
      <c r="A655" t="s">
        <v>696</v>
      </c>
      <c r="B655" t="s">
        <v>32</v>
      </c>
      <c r="C655" t="s">
        <v>13</v>
      </c>
      <c r="D655">
        <v>80.13</v>
      </c>
      <c r="E655" t="s">
        <v>5</v>
      </c>
      <c r="F655">
        <v>6.19</v>
      </c>
      <c r="G655" t="s">
        <v>11</v>
      </c>
      <c r="H655" t="str">
        <f t="shared" si="68"/>
        <v>Passed</v>
      </c>
      <c r="I655" t="str">
        <f>IF(AND(Sheet1[[#This Row],[Attendance ]]&gt;65,Sheet1[[#This Row],[Attendance ]]&lt;75),"Yes","No")</f>
        <v>No</v>
      </c>
      <c r="J655" t="str">
        <f>IF(Sheet1[[#This Row],[Attendance ]]&lt;65,"Yes","No")</f>
        <v>No</v>
      </c>
    </row>
    <row r="656" spans="1:12" hidden="1" x14ac:dyDescent="0.35">
      <c r="A656" t="s">
        <v>697</v>
      </c>
      <c r="B656" t="s">
        <v>25</v>
      </c>
      <c r="C656" t="s">
        <v>35</v>
      </c>
      <c r="D656">
        <v>95.32</v>
      </c>
      <c r="E656" t="s">
        <v>10</v>
      </c>
      <c r="F656">
        <v>8.59</v>
      </c>
      <c r="G656" t="s">
        <v>11</v>
      </c>
      <c r="H656" t="str">
        <f t="shared" si="68"/>
        <v>M1</v>
      </c>
      <c r="I656" t="str">
        <f>IF(AND(Sheet1[[#This Row],[Attendance ]]&gt;65,Sheet1[[#This Row],[Attendance ]]&lt;75),"Yes","No")</f>
        <v>No</v>
      </c>
      <c r="J656" t="str">
        <f>IF(Sheet1[[#This Row],[Attendance ]]&lt;65,"Yes","No")</f>
        <v>No</v>
      </c>
    </row>
    <row r="657" spans="1:12" hidden="1" x14ac:dyDescent="0.35">
      <c r="A657" t="s">
        <v>698</v>
      </c>
      <c r="B657" t="s">
        <v>61</v>
      </c>
      <c r="C657" t="s">
        <v>4</v>
      </c>
      <c r="D657">
        <v>82.53</v>
      </c>
      <c r="E657" t="s">
        <v>5</v>
      </c>
      <c r="F657">
        <v>8.3000000000000007</v>
      </c>
      <c r="G657" t="s">
        <v>6</v>
      </c>
      <c r="H657" t="str">
        <f t="shared" si="68"/>
        <v>Passed</v>
      </c>
      <c r="I657" t="str">
        <f>IF(AND(Sheet1[[#This Row],[Attendance ]]&gt;65,Sheet1[[#This Row],[Attendance ]]&lt;75),"Yes","No")</f>
        <v>No</v>
      </c>
      <c r="J657" t="str">
        <f>IF(Sheet1[[#This Row],[Attendance ]]&lt;65,"Yes","No")</f>
        <v>No</v>
      </c>
    </row>
    <row r="658" spans="1:12" x14ac:dyDescent="0.35">
      <c r="A658" t="s">
        <v>699</v>
      </c>
      <c r="B658" t="s">
        <v>88</v>
      </c>
      <c r="C658" t="s">
        <v>13</v>
      </c>
      <c r="D658">
        <v>72.44</v>
      </c>
      <c r="E658" t="s">
        <v>10</v>
      </c>
      <c r="F658">
        <v>7.93</v>
      </c>
      <c r="G658" t="s">
        <v>26</v>
      </c>
      <c r="H658" t="str">
        <f t="shared" si="68"/>
        <v>Deep Learning</v>
      </c>
      <c r="I658" t="str">
        <f>IF(AND(Sheet1[[#This Row],[Attendance ]]&gt;65,Sheet1[[#This Row],[Attendance ]]&lt;75),"Yes","No")</f>
        <v>Yes</v>
      </c>
      <c r="J658" t="str">
        <f>IF(Sheet1[[#This Row],[Attendance ]]&lt;65,"Yes","No")</f>
        <v>No</v>
      </c>
      <c r="K658" t="str">
        <f>CHOOSE(MOD(ROW()-2,8)+1,
"Kadapa",
"Ananthapur",
"Rayachoti",
"Nellore",
"Chittoor",
"Madanapalli",
"Rajampeta",
"Tirupati")</f>
        <v>Kadapa</v>
      </c>
      <c r="L658" t="str">
        <f>IF(AND(G656="4th Year",E656="Pass",F656&gt;=7),"Yes","No")</f>
        <v>No</v>
      </c>
    </row>
    <row r="659" spans="1:12" hidden="1" x14ac:dyDescent="0.35">
      <c r="A659" t="s">
        <v>700</v>
      </c>
      <c r="B659" t="s">
        <v>22</v>
      </c>
      <c r="C659" t="s">
        <v>4</v>
      </c>
      <c r="D659">
        <v>80.84</v>
      </c>
      <c r="E659" t="s">
        <v>5</v>
      </c>
      <c r="F659">
        <v>6.71</v>
      </c>
      <c r="G659" t="s">
        <v>28</v>
      </c>
      <c r="H659" t="str">
        <f t="shared" si="68"/>
        <v>Passed</v>
      </c>
      <c r="I659" t="str">
        <f>IF(AND(Sheet1[[#This Row],[Attendance ]]&gt;65,Sheet1[[#This Row],[Attendance ]]&lt;75),"Yes","No")</f>
        <v>No</v>
      </c>
      <c r="J659" t="str">
        <f>IF(Sheet1[[#This Row],[Attendance ]]&lt;65,"Yes","No")</f>
        <v>No</v>
      </c>
    </row>
    <row r="660" spans="1:12" x14ac:dyDescent="0.35">
      <c r="A660" t="s">
        <v>701</v>
      </c>
      <c r="B660" t="s">
        <v>12</v>
      </c>
      <c r="C660" t="s">
        <v>9</v>
      </c>
      <c r="D660">
        <v>72.180000000000007</v>
      </c>
      <c r="E660" t="s">
        <v>10</v>
      </c>
      <c r="F660">
        <v>9.2200000000000006</v>
      </c>
      <c r="G660" t="s">
        <v>11</v>
      </c>
      <c r="H660" t="str">
        <f t="shared" si="68"/>
        <v>M1</v>
      </c>
      <c r="I660" t="str">
        <f>IF(AND(Sheet1[[#This Row],[Attendance ]]&gt;65,Sheet1[[#This Row],[Attendance ]]&lt;75),"Yes","No")</f>
        <v>Yes</v>
      </c>
      <c r="J660" t="str">
        <f>IF(Sheet1[[#This Row],[Attendance ]]&lt;65,"Yes","No")</f>
        <v>No</v>
      </c>
      <c r="K660" t="str">
        <f t="shared" ref="K660:K661" si="71">CHOOSE(MOD(ROW()-2,8)+1,
"Kadapa",
"Ananthapur",
"Rayachoti",
"Nellore",
"Chittoor",
"Madanapalli",
"Rajampeta",
"Tirupati")</f>
        <v>Rayachoti</v>
      </c>
      <c r="L660" t="str">
        <f t="shared" ref="L660:L661" si="72">IF(AND(G658="4th Year",E658="Pass",F658&gt;=7),"Yes","No")</f>
        <v>No</v>
      </c>
    </row>
    <row r="661" spans="1:12" x14ac:dyDescent="0.35">
      <c r="A661" t="s">
        <v>702</v>
      </c>
      <c r="B661" t="s">
        <v>34</v>
      </c>
      <c r="C661" t="s">
        <v>20</v>
      </c>
      <c r="D661">
        <v>69.72</v>
      </c>
      <c r="E661" t="s">
        <v>5</v>
      </c>
      <c r="F661">
        <v>7.82</v>
      </c>
      <c r="G661" t="s">
        <v>28</v>
      </c>
      <c r="H661" t="str">
        <f t="shared" si="68"/>
        <v>Passed</v>
      </c>
      <c r="I661" t="str">
        <f>IF(AND(Sheet1[[#This Row],[Attendance ]]&gt;65,Sheet1[[#This Row],[Attendance ]]&lt;75),"Yes","No")</f>
        <v>Yes</v>
      </c>
      <c r="J661" t="str">
        <f>IF(Sheet1[[#This Row],[Attendance ]]&lt;65,"Yes","No")</f>
        <v>No</v>
      </c>
      <c r="K661" t="str">
        <f t="shared" si="71"/>
        <v>Nellore</v>
      </c>
      <c r="L661" t="str">
        <f t="shared" si="72"/>
        <v>No</v>
      </c>
    </row>
    <row r="662" spans="1:12" hidden="1" x14ac:dyDescent="0.35">
      <c r="A662" t="s">
        <v>703</v>
      </c>
      <c r="B662" t="s">
        <v>58</v>
      </c>
      <c r="C662" t="s">
        <v>4</v>
      </c>
      <c r="D662">
        <v>87.41</v>
      </c>
      <c r="E662" t="s">
        <v>5</v>
      </c>
      <c r="F662">
        <v>5.37</v>
      </c>
      <c r="G662" t="s">
        <v>26</v>
      </c>
      <c r="H662" t="str">
        <f t="shared" si="68"/>
        <v>Passed</v>
      </c>
      <c r="I662" t="str">
        <f>IF(AND(Sheet1[[#This Row],[Attendance ]]&gt;65,Sheet1[[#This Row],[Attendance ]]&lt;75),"Yes","No")</f>
        <v>No</v>
      </c>
      <c r="J662" t="str">
        <f>IF(Sheet1[[#This Row],[Attendance ]]&lt;65,"Yes","No")</f>
        <v>No</v>
      </c>
    </row>
    <row r="663" spans="1:12" hidden="1" x14ac:dyDescent="0.35">
      <c r="A663" t="s">
        <v>704</v>
      </c>
      <c r="B663" t="s">
        <v>72</v>
      </c>
      <c r="C663" t="s">
        <v>4</v>
      </c>
      <c r="D663">
        <v>90.8</v>
      </c>
      <c r="E663" t="s">
        <v>5</v>
      </c>
      <c r="F663">
        <v>9.5299999999999994</v>
      </c>
      <c r="G663" t="s">
        <v>28</v>
      </c>
      <c r="H663" t="str">
        <f t="shared" si="68"/>
        <v>Passed</v>
      </c>
      <c r="I663" t="str">
        <f>IF(AND(Sheet1[[#This Row],[Attendance ]]&gt;65,Sheet1[[#This Row],[Attendance ]]&lt;75),"Yes","No")</f>
        <v>No</v>
      </c>
      <c r="J663" t="str">
        <f>IF(Sheet1[[#This Row],[Attendance ]]&lt;65,"Yes","No")</f>
        <v>No</v>
      </c>
    </row>
    <row r="664" spans="1:12" hidden="1" x14ac:dyDescent="0.35">
      <c r="A664" t="s">
        <v>705</v>
      </c>
      <c r="B664" t="s">
        <v>110</v>
      </c>
      <c r="C664" t="s">
        <v>13</v>
      </c>
      <c r="D664">
        <v>62.19</v>
      </c>
      <c r="E664" t="s">
        <v>5</v>
      </c>
      <c r="F664">
        <v>6.95</v>
      </c>
      <c r="G664" t="s">
        <v>11</v>
      </c>
      <c r="H664" t="str">
        <f t="shared" si="68"/>
        <v>Passed</v>
      </c>
      <c r="I664" t="str">
        <f>IF(AND(Sheet1[[#This Row],[Attendance ]]&gt;65,Sheet1[[#This Row],[Attendance ]]&lt;75),"Yes","No")</f>
        <v>No</v>
      </c>
      <c r="J664" t="str">
        <f>IF(Sheet1[[#This Row],[Attendance ]]&lt;65,"Yes","No")</f>
        <v>Yes</v>
      </c>
    </row>
    <row r="665" spans="1:12" x14ac:dyDescent="0.35">
      <c r="A665" t="s">
        <v>706</v>
      </c>
      <c r="B665" t="s">
        <v>37</v>
      </c>
      <c r="C665" t="s">
        <v>13</v>
      </c>
      <c r="D665">
        <v>71.25</v>
      </c>
      <c r="E665" t="s">
        <v>5</v>
      </c>
      <c r="F665">
        <v>8.1</v>
      </c>
      <c r="G665" t="s">
        <v>26</v>
      </c>
      <c r="H665" t="str">
        <f t="shared" si="68"/>
        <v>Passed</v>
      </c>
      <c r="I665" t="str">
        <f>IF(AND(Sheet1[[#This Row],[Attendance ]]&gt;65,Sheet1[[#This Row],[Attendance ]]&lt;75),"Yes","No")</f>
        <v>Yes</v>
      </c>
      <c r="J665" t="str">
        <f>IF(Sheet1[[#This Row],[Attendance ]]&lt;65,"Yes","No")</f>
        <v>No</v>
      </c>
      <c r="K665" t="str">
        <f>CHOOSE(MOD(ROW()-2,8)+1,
"Kadapa",
"Ananthapur",
"Rayachoti",
"Nellore",
"Chittoor",
"Madanapalli",
"Rajampeta",
"Tirupati")</f>
        <v>Tirupati</v>
      </c>
      <c r="L665" t="str">
        <f>IF(AND(G663="4th Year",E663="Pass",F663&gt;=7),"Yes","No")</f>
        <v>No</v>
      </c>
    </row>
    <row r="666" spans="1:12" hidden="1" x14ac:dyDescent="0.35">
      <c r="A666" t="s">
        <v>707</v>
      </c>
      <c r="B666" t="s">
        <v>19</v>
      </c>
      <c r="C666" t="s">
        <v>4</v>
      </c>
      <c r="D666">
        <v>62.13</v>
      </c>
      <c r="E666" t="s">
        <v>5</v>
      </c>
      <c r="F666">
        <v>6.55</v>
      </c>
      <c r="G666" t="s">
        <v>26</v>
      </c>
      <c r="H666" t="str">
        <f t="shared" si="68"/>
        <v>Passed</v>
      </c>
      <c r="I666" t="str">
        <f>IF(AND(Sheet1[[#This Row],[Attendance ]]&gt;65,Sheet1[[#This Row],[Attendance ]]&lt;75),"Yes","No")</f>
        <v>No</v>
      </c>
      <c r="J666" t="str">
        <f>IF(Sheet1[[#This Row],[Attendance ]]&lt;65,"Yes","No")</f>
        <v>Yes</v>
      </c>
    </row>
    <row r="667" spans="1:12" hidden="1" x14ac:dyDescent="0.35">
      <c r="A667" t="s">
        <v>708</v>
      </c>
      <c r="B667" t="s">
        <v>8</v>
      </c>
      <c r="C667" t="s">
        <v>13</v>
      </c>
      <c r="D667">
        <v>61.42</v>
      </c>
      <c r="E667" t="s">
        <v>5</v>
      </c>
      <c r="F667">
        <v>8.4</v>
      </c>
      <c r="G667" t="s">
        <v>26</v>
      </c>
      <c r="H667" t="str">
        <f t="shared" si="68"/>
        <v>Passed</v>
      </c>
      <c r="I667" t="str">
        <f>IF(AND(Sheet1[[#This Row],[Attendance ]]&gt;65,Sheet1[[#This Row],[Attendance ]]&lt;75),"Yes","No")</f>
        <v>No</v>
      </c>
      <c r="J667" t="str">
        <f>IF(Sheet1[[#This Row],[Attendance ]]&lt;65,"Yes","No")</f>
        <v>Yes</v>
      </c>
    </row>
    <row r="668" spans="1:12" hidden="1" x14ac:dyDescent="0.35">
      <c r="A668" t="s">
        <v>709</v>
      </c>
      <c r="B668" t="s">
        <v>98</v>
      </c>
      <c r="C668" t="s">
        <v>9</v>
      </c>
      <c r="D668">
        <v>87.29</v>
      </c>
      <c r="E668" t="s">
        <v>5</v>
      </c>
      <c r="F668">
        <v>7.18</v>
      </c>
      <c r="G668" t="s">
        <v>28</v>
      </c>
      <c r="H668" t="str">
        <f t="shared" si="68"/>
        <v>Passed</v>
      </c>
      <c r="I668" t="str">
        <f>IF(AND(Sheet1[[#This Row],[Attendance ]]&gt;65,Sheet1[[#This Row],[Attendance ]]&lt;75),"Yes","No")</f>
        <v>No</v>
      </c>
      <c r="J668" t="str">
        <f>IF(Sheet1[[#This Row],[Attendance ]]&lt;65,"Yes","No")</f>
        <v>No</v>
      </c>
    </row>
    <row r="669" spans="1:12" hidden="1" x14ac:dyDescent="0.35">
      <c r="A669" t="s">
        <v>710</v>
      </c>
      <c r="B669" t="s">
        <v>58</v>
      </c>
      <c r="C669" t="s">
        <v>4</v>
      </c>
      <c r="D669">
        <v>86.75</v>
      </c>
      <c r="E669" t="s">
        <v>5</v>
      </c>
      <c r="F669">
        <v>5.2</v>
      </c>
      <c r="G669" t="s">
        <v>6</v>
      </c>
      <c r="H669" t="str">
        <f t="shared" si="68"/>
        <v>Passed</v>
      </c>
      <c r="I669" t="str">
        <f>IF(AND(Sheet1[[#This Row],[Attendance ]]&gt;65,Sheet1[[#This Row],[Attendance ]]&lt;75),"Yes","No")</f>
        <v>No</v>
      </c>
      <c r="J669" t="str">
        <f>IF(Sheet1[[#This Row],[Attendance ]]&lt;65,"Yes","No")</f>
        <v>No</v>
      </c>
    </row>
    <row r="670" spans="1:12" hidden="1" x14ac:dyDescent="0.35">
      <c r="A670" t="s">
        <v>711</v>
      </c>
      <c r="B670" t="s">
        <v>164</v>
      </c>
      <c r="C670" t="s">
        <v>9</v>
      </c>
      <c r="D670">
        <v>98.96</v>
      </c>
      <c r="E670" t="s">
        <v>5</v>
      </c>
      <c r="F670">
        <v>6.63</v>
      </c>
      <c r="G670" t="s">
        <v>28</v>
      </c>
      <c r="H670" t="str">
        <f t="shared" si="68"/>
        <v>Passed</v>
      </c>
      <c r="I670" t="str">
        <f>IF(AND(Sheet1[[#This Row],[Attendance ]]&gt;65,Sheet1[[#This Row],[Attendance ]]&lt;75),"Yes","No")</f>
        <v>No</v>
      </c>
      <c r="J670" t="str">
        <f>IF(Sheet1[[#This Row],[Attendance ]]&lt;65,"Yes","No")</f>
        <v>No</v>
      </c>
    </row>
    <row r="671" spans="1:12" hidden="1" x14ac:dyDescent="0.35">
      <c r="A671" t="s">
        <v>712</v>
      </c>
      <c r="B671" t="s">
        <v>70</v>
      </c>
      <c r="C671" t="s">
        <v>23</v>
      </c>
      <c r="D671">
        <v>86.28</v>
      </c>
      <c r="E671" t="s">
        <v>5</v>
      </c>
      <c r="F671">
        <v>6.01</v>
      </c>
      <c r="G671" t="s">
        <v>6</v>
      </c>
      <c r="H671" t="str">
        <f t="shared" si="68"/>
        <v>Passed</v>
      </c>
      <c r="I671" t="str">
        <f>IF(AND(Sheet1[[#This Row],[Attendance ]]&gt;65,Sheet1[[#This Row],[Attendance ]]&lt;75),"Yes","No")</f>
        <v>No</v>
      </c>
      <c r="J671" t="str">
        <f>IF(Sheet1[[#This Row],[Attendance ]]&lt;65,"Yes","No")</f>
        <v>No</v>
      </c>
    </row>
    <row r="672" spans="1:12" hidden="1" x14ac:dyDescent="0.35">
      <c r="A672" t="s">
        <v>713</v>
      </c>
      <c r="B672" t="s">
        <v>107</v>
      </c>
      <c r="C672" t="s">
        <v>4</v>
      </c>
      <c r="D672">
        <v>97.18</v>
      </c>
      <c r="E672" t="s">
        <v>5</v>
      </c>
      <c r="F672">
        <v>9.66</v>
      </c>
      <c r="G672" t="s">
        <v>28</v>
      </c>
      <c r="H672" t="str">
        <f t="shared" si="68"/>
        <v>Passed</v>
      </c>
      <c r="I672" t="str">
        <f>IF(AND(Sheet1[[#This Row],[Attendance ]]&gt;65,Sheet1[[#This Row],[Attendance ]]&lt;75),"Yes","No")</f>
        <v>No</v>
      </c>
      <c r="J672" t="str">
        <f>IF(Sheet1[[#This Row],[Attendance ]]&lt;65,"Yes","No")</f>
        <v>No</v>
      </c>
    </row>
    <row r="673" spans="1:12" hidden="1" x14ac:dyDescent="0.35">
      <c r="A673" t="s">
        <v>714</v>
      </c>
      <c r="B673" t="s">
        <v>103</v>
      </c>
      <c r="C673" t="s">
        <v>13</v>
      </c>
      <c r="D673">
        <v>84.54</v>
      </c>
      <c r="E673" t="s">
        <v>5</v>
      </c>
      <c r="F673">
        <v>6.08</v>
      </c>
      <c r="G673" t="s">
        <v>11</v>
      </c>
      <c r="H673" t="str">
        <f t="shared" si="68"/>
        <v>Passed</v>
      </c>
      <c r="I673" t="str">
        <f>IF(AND(Sheet1[[#This Row],[Attendance ]]&gt;65,Sheet1[[#This Row],[Attendance ]]&lt;75),"Yes","No")</f>
        <v>No</v>
      </c>
      <c r="J673" t="str">
        <f>IF(Sheet1[[#This Row],[Attendance ]]&lt;65,"Yes","No")</f>
        <v>No</v>
      </c>
    </row>
    <row r="674" spans="1:12" hidden="1" x14ac:dyDescent="0.35">
      <c r="A674" t="s">
        <v>715</v>
      </c>
      <c r="B674" t="s">
        <v>110</v>
      </c>
      <c r="C674" t="s">
        <v>4</v>
      </c>
      <c r="D674">
        <v>85.57</v>
      </c>
      <c r="E674" t="s">
        <v>5</v>
      </c>
      <c r="F674">
        <v>6.66</v>
      </c>
      <c r="G674" t="s">
        <v>11</v>
      </c>
      <c r="H674" t="str">
        <f t="shared" si="68"/>
        <v>Passed</v>
      </c>
      <c r="I674" t="str">
        <f>IF(AND(Sheet1[[#This Row],[Attendance ]]&gt;65,Sheet1[[#This Row],[Attendance ]]&lt;75),"Yes","No")</f>
        <v>No</v>
      </c>
      <c r="J674" t="str">
        <f>IF(Sheet1[[#This Row],[Attendance ]]&lt;65,"Yes","No")</f>
        <v>No</v>
      </c>
    </row>
    <row r="675" spans="1:12" x14ac:dyDescent="0.35">
      <c r="A675" t="s">
        <v>716</v>
      </c>
      <c r="B675" t="s">
        <v>12</v>
      </c>
      <c r="C675" t="s">
        <v>23</v>
      </c>
      <c r="D675">
        <v>70.45</v>
      </c>
      <c r="E675" t="s">
        <v>5</v>
      </c>
      <c r="F675">
        <v>8.1199999999999992</v>
      </c>
      <c r="G675" t="s">
        <v>26</v>
      </c>
      <c r="H675" t="str">
        <f t="shared" si="68"/>
        <v>Passed</v>
      </c>
      <c r="I675" t="str">
        <f>IF(AND(Sheet1[[#This Row],[Attendance ]]&gt;65,Sheet1[[#This Row],[Attendance ]]&lt;75),"Yes","No")</f>
        <v>Yes</v>
      </c>
      <c r="J675" t="str">
        <f>IF(Sheet1[[#This Row],[Attendance ]]&lt;65,"Yes","No")</f>
        <v>No</v>
      </c>
      <c r="K675" t="str">
        <f>CHOOSE(MOD(ROW()-2,8)+1,
"Kadapa",
"Ananthapur",
"Rayachoti",
"Nellore",
"Chittoor",
"Madanapalli",
"Rajampeta",
"Tirupati")</f>
        <v>Ananthapur</v>
      </c>
      <c r="L675" t="str">
        <f>IF(AND(G673="4th Year",E673="Pass",F673&gt;=7),"Yes","No")</f>
        <v>No</v>
      </c>
    </row>
    <row r="676" spans="1:12" hidden="1" x14ac:dyDescent="0.35">
      <c r="A676" t="s">
        <v>717</v>
      </c>
      <c r="B676" t="s">
        <v>63</v>
      </c>
      <c r="C676" t="s">
        <v>13</v>
      </c>
      <c r="D676">
        <v>85.48</v>
      </c>
      <c r="E676" t="s">
        <v>5</v>
      </c>
      <c r="F676">
        <v>5.86</v>
      </c>
      <c r="G676" t="s">
        <v>28</v>
      </c>
      <c r="H676" t="str">
        <f t="shared" si="68"/>
        <v>Passed</v>
      </c>
      <c r="I676" t="str">
        <f>IF(AND(Sheet1[[#This Row],[Attendance ]]&gt;65,Sheet1[[#This Row],[Attendance ]]&lt;75),"Yes","No")</f>
        <v>No</v>
      </c>
      <c r="J676" t="str">
        <f>IF(Sheet1[[#This Row],[Attendance ]]&lt;65,"Yes","No")</f>
        <v>No</v>
      </c>
    </row>
    <row r="677" spans="1:12" hidden="1" x14ac:dyDescent="0.35">
      <c r="A677" t="s">
        <v>718</v>
      </c>
      <c r="B677" t="s">
        <v>30</v>
      </c>
      <c r="C677" t="s">
        <v>20</v>
      </c>
      <c r="D677">
        <v>86.34</v>
      </c>
      <c r="E677" t="s">
        <v>5</v>
      </c>
      <c r="F677">
        <v>6.37</v>
      </c>
      <c r="G677" t="s">
        <v>11</v>
      </c>
      <c r="H677" t="str">
        <f t="shared" si="68"/>
        <v>Passed</v>
      </c>
      <c r="I677" t="str">
        <f>IF(AND(Sheet1[[#This Row],[Attendance ]]&gt;65,Sheet1[[#This Row],[Attendance ]]&lt;75),"Yes","No")</f>
        <v>No</v>
      </c>
      <c r="J677" t="str">
        <f>IF(Sheet1[[#This Row],[Attendance ]]&lt;65,"Yes","No")</f>
        <v>No</v>
      </c>
    </row>
    <row r="678" spans="1:12" hidden="1" x14ac:dyDescent="0.35">
      <c r="A678" t="s">
        <v>719</v>
      </c>
      <c r="B678" t="s">
        <v>17</v>
      </c>
      <c r="C678" t="s">
        <v>20</v>
      </c>
      <c r="D678">
        <v>64.790000000000006</v>
      </c>
      <c r="E678" t="s">
        <v>5</v>
      </c>
      <c r="F678">
        <v>5.74</v>
      </c>
      <c r="G678" t="s">
        <v>28</v>
      </c>
      <c r="H678" t="str">
        <f t="shared" si="68"/>
        <v>Passed</v>
      </c>
      <c r="I678" t="str">
        <f>IF(AND(Sheet1[[#This Row],[Attendance ]]&gt;65,Sheet1[[#This Row],[Attendance ]]&lt;75),"Yes","No")</f>
        <v>No</v>
      </c>
      <c r="J678" t="str">
        <f>IF(Sheet1[[#This Row],[Attendance ]]&lt;65,"Yes","No")</f>
        <v>Yes</v>
      </c>
    </row>
    <row r="679" spans="1:12" hidden="1" x14ac:dyDescent="0.35">
      <c r="A679" t="s">
        <v>720</v>
      </c>
      <c r="B679" t="s">
        <v>15</v>
      </c>
      <c r="C679" t="s">
        <v>4</v>
      </c>
      <c r="D679">
        <v>98.59</v>
      </c>
      <c r="E679" t="s">
        <v>5</v>
      </c>
      <c r="F679">
        <v>7.83</v>
      </c>
      <c r="G679" t="s">
        <v>26</v>
      </c>
      <c r="H679" t="str">
        <f t="shared" si="68"/>
        <v>Passed</v>
      </c>
      <c r="I679" t="str">
        <f>IF(AND(Sheet1[[#This Row],[Attendance ]]&gt;65,Sheet1[[#This Row],[Attendance ]]&lt;75),"Yes","No")</f>
        <v>No</v>
      </c>
      <c r="J679" t="str">
        <f>IF(Sheet1[[#This Row],[Attendance ]]&lt;65,"Yes","No")</f>
        <v>No</v>
      </c>
    </row>
    <row r="680" spans="1:12" x14ac:dyDescent="0.35">
      <c r="A680" t="s">
        <v>721</v>
      </c>
      <c r="B680" t="s">
        <v>12</v>
      </c>
      <c r="C680" t="s">
        <v>20</v>
      </c>
      <c r="D680">
        <v>65.040000000000006</v>
      </c>
      <c r="E680" t="s">
        <v>10</v>
      </c>
      <c r="F680">
        <v>7.4</v>
      </c>
      <c r="G680" t="s">
        <v>26</v>
      </c>
      <c r="H680" t="str">
        <f t="shared" si="68"/>
        <v>Deep Learning</v>
      </c>
      <c r="I680" t="str">
        <f>IF(AND(Sheet1[[#This Row],[Attendance ]]&gt;65,Sheet1[[#This Row],[Attendance ]]&lt;75),"Yes","No")</f>
        <v>Yes</v>
      </c>
      <c r="J680" t="str">
        <f>IF(Sheet1[[#This Row],[Attendance ]]&lt;65,"Yes","No")</f>
        <v>No</v>
      </c>
      <c r="K680" t="str">
        <f t="shared" ref="K680:K681" si="73">CHOOSE(MOD(ROW()-2,8)+1,
"Kadapa",
"Ananthapur",
"Rayachoti",
"Nellore",
"Chittoor",
"Madanapalli",
"Rajampeta",
"Tirupati")</f>
        <v>Rajampeta</v>
      </c>
      <c r="L680" t="str">
        <f t="shared" ref="L680:L681" si="74">IF(AND(G678="4th Year",E678="Pass",F678&gt;=7),"Yes","No")</f>
        <v>No</v>
      </c>
    </row>
    <row r="681" spans="1:12" x14ac:dyDescent="0.35">
      <c r="A681" t="s">
        <v>722</v>
      </c>
      <c r="B681" t="s">
        <v>8</v>
      </c>
      <c r="C681" t="s">
        <v>20</v>
      </c>
      <c r="D681">
        <v>68.7</v>
      </c>
      <c r="E681" t="s">
        <v>5</v>
      </c>
      <c r="F681">
        <v>8.82</v>
      </c>
      <c r="G681" t="s">
        <v>11</v>
      </c>
      <c r="H681" t="str">
        <f t="shared" si="68"/>
        <v>Passed</v>
      </c>
      <c r="I681" t="str">
        <f>IF(AND(Sheet1[[#This Row],[Attendance ]]&gt;65,Sheet1[[#This Row],[Attendance ]]&lt;75),"Yes","No")</f>
        <v>Yes</v>
      </c>
      <c r="J681" t="str">
        <f>IF(Sheet1[[#This Row],[Attendance ]]&lt;65,"Yes","No")</f>
        <v>No</v>
      </c>
      <c r="K681" t="str">
        <f t="shared" si="73"/>
        <v>Tirupati</v>
      </c>
      <c r="L681" t="str">
        <f t="shared" si="74"/>
        <v>Yes</v>
      </c>
    </row>
    <row r="682" spans="1:12" hidden="1" x14ac:dyDescent="0.35">
      <c r="A682" t="s">
        <v>723</v>
      </c>
      <c r="B682" t="s">
        <v>45</v>
      </c>
      <c r="C682" t="s">
        <v>23</v>
      </c>
      <c r="D682">
        <v>85.43</v>
      </c>
      <c r="E682" t="s">
        <v>5</v>
      </c>
      <c r="F682">
        <v>6.13</v>
      </c>
      <c r="G682" t="s">
        <v>11</v>
      </c>
      <c r="H682" t="str">
        <f t="shared" si="68"/>
        <v>Passed</v>
      </c>
      <c r="I682" t="str">
        <f>IF(AND(Sheet1[[#This Row],[Attendance ]]&gt;65,Sheet1[[#This Row],[Attendance ]]&lt;75),"Yes","No")</f>
        <v>No</v>
      </c>
      <c r="J682" t="str">
        <f>IF(Sheet1[[#This Row],[Attendance ]]&lt;65,"Yes","No")</f>
        <v>No</v>
      </c>
    </row>
    <row r="683" spans="1:12" hidden="1" x14ac:dyDescent="0.35">
      <c r="A683" t="s">
        <v>724</v>
      </c>
      <c r="B683" t="s">
        <v>70</v>
      </c>
      <c r="C683" t="s">
        <v>23</v>
      </c>
      <c r="D683">
        <v>89.53</v>
      </c>
      <c r="E683" t="s">
        <v>5</v>
      </c>
      <c r="F683">
        <v>5.95</v>
      </c>
      <c r="G683" t="s">
        <v>6</v>
      </c>
      <c r="H683" t="str">
        <f t="shared" si="68"/>
        <v>Passed</v>
      </c>
      <c r="I683" t="str">
        <f>IF(AND(Sheet1[[#This Row],[Attendance ]]&gt;65,Sheet1[[#This Row],[Attendance ]]&lt;75),"Yes","No")</f>
        <v>No</v>
      </c>
      <c r="J683" t="str">
        <f>IF(Sheet1[[#This Row],[Attendance ]]&lt;65,"Yes","No")</f>
        <v>No</v>
      </c>
    </row>
    <row r="684" spans="1:12" x14ac:dyDescent="0.35">
      <c r="A684" t="s">
        <v>725</v>
      </c>
      <c r="B684" t="s">
        <v>15</v>
      </c>
      <c r="C684" t="s">
        <v>9</v>
      </c>
      <c r="D684">
        <v>68.16</v>
      </c>
      <c r="E684" t="s">
        <v>5</v>
      </c>
      <c r="F684">
        <v>6.76</v>
      </c>
      <c r="G684" t="s">
        <v>26</v>
      </c>
      <c r="H684" t="str">
        <f t="shared" si="68"/>
        <v>Passed</v>
      </c>
      <c r="I684" t="str">
        <f>IF(AND(Sheet1[[#This Row],[Attendance ]]&gt;65,Sheet1[[#This Row],[Attendance ]]&lt;75),"Yes","No")</f>
        <v>Yes</v>
      </c>
      <c r="J684" t="str">
        <f>IF(Sheet1[[#This Row],[Attendance ]]&lt;65,"Yes","No")</f>
        <v>No</v>
      </c>
      <c r="K684" t="str">
        <f>CHOOSE(MOD(ROW()-2,8)+1,
"Kadapa",
"Ananthapur",
"Rayachoti",
"Nellore",
"Chittoor",
"Madanapalli",
"Rajampeta",
"Tirupati")</f>
        <v>Rayachoti</v>
      </c>
      <c r="L684" t="str">
        <f>IF(AND(G682="4th Year",E682="Pass",F682&gt;=7),"Yes","No")</f>
        <v>No</v>
      </c>
    </row>
    <row r="685" spans="1:12" hidden="1" x14ac:dyDescent="0.35">
      <c r="A685" t="s">
        <v>726</v>
      </c>
      <c r="B685" t="s">
        <v>58</v>
      </c>
      <c r="C685" t="s">
        <v>9</v>
      </c>
      <c r="D685">
        <v>94.53</v>
      </c>
      <c r="E685" t="s">
        <v>5</v>
      </c>
      <c r="F685">
        <v>9.61</v>
      </c>
      <c r="G685" t="s">
        <v>6</v>
      </c>
      <c r="H685" t="str">
        <f t="shared" si="68"/>
        <v>Passed</v>
      </c>
      <c r="I685" t="str">
        <f>IF(AND(Sheet1[[#This Row],[Attendance ]]&gt;65,Sheet1[[#This Row],[Attendance ]]&lt;75),"Yes","No")</f>
        <v>No</v>
      </c>
      <c r="J685" t="str">
        <f>IF(Sheet1[[#This Row],[Attendance ]]&lt;65,"Yes","No")</f>
        <v>No</v>
      </c>
    </row>
    <row r="686" spans="1:12" x14ac:dyDescent="0.35">
      <c r="A686" t="s">
        <v>727</v>
      </c>
      <c r="B686" t="s">
        <v>3</v>
      </c>
      <c r="C686" t="s">
        <v>9</v>
      </c>
      <c r="D686">
        <v>68.709999999999994</v>
      </c>
      <c r="E686" t="s">
        <v>5</v>
      </c>
      <c r="F686">
        <v>9.5500000000000007</v>
      </c>
      <c r="G686" t="s">
        <v>6</v>
      </c>
      <c r="H686" t="str">
        <f t="shared" si="68"/>
        <v>Passed</v>
      </c>
      <c r="I686" t="str">
        <f>IF(AND(Sheet1[[#This Row],[Attendance ]]&gt;65,Sheet1[[#This Row],[Attendance ]]&lt;75),"Yes","No")</f>
        <v>Yes</v>
      </c>
      <c r="J686" t="str">
        <f>IF(Sheet1[[#This Row],[Attendance ]]&lt;65,"Yes","No")</f>
        <v>No</v>
      </c>
      <c r="K686" t="str">
        <f>CHOOSE(MOD(ROW()-2,8)+1,
"Kadapa",
"Ananthapur",
"Rayachoti",
"Nellore",
"Chittoor",
"Madanapalli",
"Rajampeta",
"Tirupati")</f>
        <v>Chittoor</v>
      </c>
      <c r="L686" t="str">
        <f>IF(AND(G684="4th Year",E684="Pass",F684&gt;=7),"Yes","No")</f>
        <v>No</v>
      </c>
    </row>
    <row r="687" spans="1:12" hidden="1" x14ac:dyDescent="0.35">
      <c r="A687" t="s">
        <v>728</v>
      </c>
      <c r="B687" t="s">
        <v>63</v>
      </c>
      <c r="C687" t="s">
        <v>13</v>
      </c>
      <c r="D687">
        <v>83.17</v>
      </c>
      <c r="E687" t="s">
        <v>5</v>
      </c>
      <c r="F687">
        <v>8.1</v>
      </c>
      <c r="G687" t="s">
        <v>28</v>
      </c>
      <c r="H687" t="str">
        <f t="shared" si="68"/>
        <v>Passed</v>
      </c>
      <c r="I687" t="str">
        <f>IF(AND(Sheet1[[#This Row],[Attendance ]]&gt;65,Sheet1[[#This Row],[Attendance ]]&lt;75),"Yes","No")</f>
        <v>No</v>
      </c>
      <c r="J687" t="str">
        <f>IF(Sheet1[[#This Row],[Attendance ]]&lt;65,"Yes","No")</f>
        <v>No</v>
      </c>
    </row>
    <row r="688" spans="1:12" hidden="1" x14ac:dyDescent="0.35">
      <c r="A688" t="s">
        <v>729</v>
      </c>
      <c r="B688" t="s">
        <v>110</v>
      </c>
      <c r="C688" t="s">
        <v>23</v>
      </c>
      <c r="D688">
        <v>92.16</v>
      </c>
      <c r="E688" t="s">
        <v>5</v>
      </c>
      <c r="F688">
        <v>9.1199999999999992</v>
      </c>
      <c r="G688" t="s">
        <v>6</v>
      </c>
      <c r="H688" t="str">
        <f t="shared" si="68"/>
        <v>Passed</v>
      </c>
      <c r="I688" t="str">
        <f>IF(AND(Sheet1[[#This Row],[Attendance ]]&gt;65,Sheet1[[#This Row],[Attendance ]]&lt;75),"Yes","No")</f>
        <v>No</v>
      </c>
      <c r="J688" t="str">
        <f>IF(Sheet1[[#This Row],[Attendance ]]&lt;65,"Yes","No")</f>
        <v>No</v>
      </c>
    </row>
    <row r="689" spans="1:12" hidden="1" x14ac:dyDescent="0.35">
      <c r="A689" t="s">
        <v>730</v>
      </c>
      <c r="B689" t="s">
        <v>3</v>
      </c>
      <c r="C689" t="s">
        <v>20</v>
      </c>
      <c r="D689">
        <v>88.12</v>
      </c>
      <c r="E689" t="s">
        <v>5</v>
      </c>
      <c r="F689">
        <v>7.18</v>
      </c>
      <c r="G689" t="s">
        <v>11</v>
      </c>
      <c r="H689" t="str">
        <f t="shared" si="68"/>
        <v>Passed</v>
      </c>
      <c r="I689" t="str">
        <f>IF(AND(Sheet1[[#This Row],[Attendance ]]&gt;65,Sheet1[[#This Row],[Attendance ]]&lt;75),"Yes","No")</f>
        <v>No</v>
      </c>
      <c r="J689" t="str">
        <f>IF(Sheet1[[#This Row],[Attendance ]]&lt;65,"Yes","No")</f>
        <v>No</v>
      </c>
    </row>
    <row r="690" spans="1:12" hidden="1" x14ac:dyDescent="0.35">
      <c r="A690" t="s">
        <v>731</v>
      </c>
      <c r="B690" t="s">
        <v>61</v>
      </c>
      <c r="C690" t="s">
        <v>35</v>
      </c>
      <c r="D690">
        <v>76.44</v>
      </c>
      <c r="E690" t="s">
        <v>5</v>
      </c>
      <c r="F690">
        <v>9.74</v>
      </c>
      <c r="G690" t="s">
        <v>6</v>
      </c>
      <c r="H690" t="str">
        <f t="shared" si="68"/>
        <v>Passed</v>
      </c>
      <c r="I690" t="str">
        <f>IF(AND(Sheet1[[#This Row],[Attendance ]]&gt;65,Sheet1[[#This Row],[Attendance ]]&lt;75),"Yes","No")</f>
        <v>No</v>
      </c>
      <c r="J690" t="str">
        <f>IF(Sheet1[[#This Row],[Attendance ]]&lt;65,"Yes","No")</f>
        <v>No</v>
      </c>
    </row>
    <row r="691" spans="1:12" hidden="1" x14ac:dyDescent="0.35">
      <c r="A691" t="s">
        <v>732</v>
      </c>
      <c r="B691" t="s">
        <v>25</v>
      </c>
      <c r="C691" t="s">
        <v>9</v>
      </c>
      <c r="D691">
        <v>76.959999999999994</v>
      </c>
      <c r="E691" t="s">
        <v>5</v>
      </c>
      <c r="F691">
        <v>8.68</v>
      </c>
      <c r="G691" t="s">
        <v>26</v>
      </c>
      <c r="H691" t="str">
        <f t="shared" si="68"/>
        <v>Passed</v>
      </c>
      <c r="I691" t="str">
        <f>IF(AND(Sheet1[[#This Row],[Attendance ]]&gt;65,Sheet1[[#This Row],[Attendance ]]&lt;75),"Yes","No")</f>
        <v>No</v>
      </c>
      <c r="J691" t="str">
        <f>IF(Sheet1[[#This Row],[Attendance ]]&lt;65,"Yes","No")</f>
        <v>No</v>
      </c>
    </row>
    <row r="692" spans="1:12" hidden="1" x14ac:dyDescent="0.35">
      <c r="A692" t="s">
        <v>733</v>
      </c>
      <c r="B692" t="s">
        <v>39</v>
      </c>
      <c r="C692" t="s">
        <v>35</v>
      </c>
      <c r="D692">
        <v>83</v>
      </c>
      <c r="E692" t="s">
        <v>5</v>
      </c>
      <c r="F692">
        <v>5.41</v>
      </c>
      <c r="G692" t="s">
        <v>6</v>
      </c>
      <c r="H692" t="str">
        <f t="shared" si="68"/>
        <v>Passed</v>
      </c>
      <c r="I692" t="str">
        <f>IF(AND(Sheet1[[#This Row],[Attendance ]]&gt;65,Sheet1[[#This Row],[Attendance ]]&lt;75),"Yes","No")</f>
        <v>No</v>
      </c>
      <c r="J692" t="str">
        <f>IF(Sheet1[[#This Row],[Attendance ]]&lt;65,"Yes","No")</f>
        <v>No</v>
      </c>
    </row>
    <row r="693" spans="1:12" hidden="1" x14ac:dyDescent="0.35">
      <c r="A693" t="s">
        <v>734</v>
      </c>
      <c r="B693" t="s">
        <v>32</v>
      </c>
      <c r="C693" t="s">
        <v>9</v>
      </c>
      <c r="D693">
        <v>94.44</v>
      </c>
      <c r="E693" t="s">
        <v>5</v>
      </c>
      <c r="F693">
        <v>7.3</v>
      </c>
      <c r="G693" t="s">
        <v>11</v>
      </c>
      <c r="H693" t="str">
        <f t="shared" si="68"/>
        <v>Passed</v>
      </c>
      <c r="I693" t="str">
        <f>IF(AND(Sheet1[[#This Row],[Attendance ]]&gt;65,Sheet1[[#This Row],[Attendance ]]&lt;75),"Yes","No")</f>
        <v>No</v>
      </c>
      <c r="J693" t="str">
        <f>IF(Sheet1[[#This Row],[Attendance ]]&lt;65,"Yes","No")</f>
        <v>No</v>
      </c>
    </row>
    <row r="694" spans="1:12" x14ac:dyDescent="0.35">
      <c r="A694" t="s">
        <v>735</v>
      </c>
      <c r="B694" t="s">
        <v>103</v>
      </c>
      <c r="C694" t="s">
        <v>4</v>
      </c>
      <c r="D694">
        <v>66.14</v>
      </c>
      <c r="E694" t="s">
        <v>5</v>
      </c>
      <c r="F694">
        <v>8.0299999999999994</v>
      </c>
      <c r="G694" t="s">
        <v>28</v>
      </c>
      <c r="H694" t="str">
        <f t="shared" si="68"/>
        <v>Passed</v>
      </c>
      <c r="I694" t="str">
        <f>IF(AND(Sheet1[[#This Row],[Attendance ]]&gt;65,Sheet1[[#This Row],[Attendance ]]&lt;75),"Yes","No")</f>
        <v>Yes</v>
      </c>
      <c r="J694" t="str">
        <f>IF(Sheet1[[#This Row],[Attendance ]]&lt;65,"Yes","No")</f>
        <v>No</v>
      </c>
      <c r="K694" t="str">
        <f>CHOOSE(MOD(ROW()-2,8)+1,
"Kadapa",
"Ananthapur",
"Rayachoti",
"Nellore",
"Chittoor",
"Madanapalli",
"Rajampeta",
"Tirupati")</f>
        <v>Chittoor</v>
      </c>
      <c r="L694" t="str">
        <f>IF(AND(G692="4th Year",E692="Pass",F692&gt;=7),"Yes","No")</f>
        <v>No</v>
      </c>
    </row>
    <row r="695" spans="1:12" hidden="1" x14ac:dyDescent="0.35">
      <c r="A695" t="s">
        <v>736</v>
      </c>
      <c r="B695" t="s">
        <v>12</v>
      </c>
      <c r="C695" t="s">
        <v>20</v>
      </c>
      <c r="D695">
        <v>75.17</v>
      </c>
      <c r="E695" t="s">
        <v>5</v>
      </c>
      <c r="F695">
        <v>6.83</v>
      </c>
      <c r="G695" t="s">
        <v>11</v>
      </c>
      <c r="H695" t="str">
        <f t="shared" si="68"/>
        <v>Passed</v>
      </c>
      <c r="I695" t="str">
        <f>IF(AND(Sheet1[[#This Row],[Attendance ]]&gt;65,Sheet1[[#This Row],[Attendance ]]&lt;75),"Yes","No")</f>
        <v>No</v>
      </c>
      <c r="J695" t="str">
        <f>IF(Sheet1[[#This Row],[Attendance ]]&lt;65,"Yes","No")</f>
        <v>No</v>
      </c>
    </row>
    <row r="696" spans="1:12" hidden="1" x14ac:dyDescent="0.35">
      <c r="A696" t="s">
        <v>737</v>
      </c>
      <c r="B696" t="s">
        <v>58</v>
      </c>
      <c r="C696" t="s">
        <v>13</v>
      </c>
      <c r="D696">
        <v>89.93</v>
      </c>
      <c r="E696" t="s">
        <v>5</v>
      </c>
      <c r="F696">
        <v>7.91</v>
      </c>
      <c r="G696" t="s">
        <v>11</v>
      </c>
      <c r="H696" t="str">
        <f t="shared" si="68"/>
        <v>Passed</v>
      </c>
      <c r="I696" t="str">
        <f>IF(AND(Sheet1[[#This Row],[Attendance ]]&gt;65,Sheet1[[#This Row],[Attendance ]]&lt;75),"Yes","No")</f>
        <v>No</v>
      </c>
      <c r="J696" t="str">
        <f>IF(Sheet1[[#This Row],[Attendance ]]&lt;65,"Yes","No")</f>
        <v>No</v>
      </c>
    </row>
    <row r="697" spans="1:12" hidden="1" x14ac:dyDescent="0.35">
      <c r="A697" t="s">
        <v>738</v>
      </c>
      <c r="B697" t="s">
        <v>77</v>
      </c>
      <c r="C697" t="s">
        <v>4</v>
      </c>
      <c r="D697">
        <v>81.14</v>
      </c>
      <c r="E697" t="s">
        <v>5</v>
      </c>
      <c r="F697">
        <v>7.29</v>
      </c>
      <c r="G697" t="s">
        <v>6</v>
      </c>
      <c r="H697" t="str">
        <f t="shared" si="68"/>
        <v>Passed</v>
      </c>
      <c r="I697" t="str">
        <f>IF(AND(Sheet1[[#This Row],[Attendance ]]&gt;65,Sheet1[[#This Row],[Attendance ]]&lt;75),"Yes","No")</f>
        <v>No</v>
      </c>
      <c r="J697" t="str">
        <f>IF(Sheet1[[#This Row],[Attendance ]]&lt;65,"Yes","No")</f>
        <v>No</v>
      </c>
    </row>
    <row r="698" spans="1:12" hidden="1" x14ac:dyDescent="0.35">
      <c r="A698" t="s">
        <v>739</v>
      </c>
      <c r="B698" t="s">
        <v>15</v>
      </c>
      <c r="C698" t="s">
        <v>23</v>
      </c>
      <c r="D698">
        <v>87.51</v>
      </c>
      <c r="E698" t="s">
        <v>5</v>
      </c>
      <c r="F698">
        <v>6.46</v>
      </c>
      <c r="G698" t="s">
        <v>28</v>
      </c>
      <c r="H698" t="str">
        <f t="shared" si="68"/>
        <v>Passed</v>
      </c>
      <c r="I698" t="str">
        <f>IF(AND(Sheet1[[#This Row],[Attendance ]]&gt;65,Sheet1[[#This Row],[Attendance ]]&lt;75),"Yes","No")</f>
        <v>No</v>
      </c>
      <c r="J698" t="str">
        <f>IF(Sheet1[[#This Row],[Attendance ]]&lt;65,"Yes","No")</f>
        <v>No</v>
      </c>
    </row>
    <row r="699" spans="1:12" hidden="1" x14ac:dyDescent="0.35">
      <c r="A699" t="s">
        <v>740</v>
      </c>
      <c r="B699" t="s">
        <v>8</v>
      </c>
      <c r="C699" t="s">
        <v>9</v>
      </c>
      <c r="D699">
        <v>86.7</v>
      </c>
      <c r="E699" t="s">
        <v>5</v>
      </c>
      <c r="F699">
        <v>9.52</v>
      </c>
      <c r="G699" t="s">
        <v>11</v>
      </c>
      <c r="H699" t="str">
        <f t="shared" si="68"/>
        <v>Passed</v>
      </c>
      <c r="I699" t="str">
        <f>IF(AND(Sheet1[[#This Row],[Attendance ]]&gt;65,Sheet1[[#This Row],[Attendance ]]&lt;75),"Yes","No")</f>
        <v>No</v>
      </c>
      <c r="J699" t="str">
        <f>IF(Sheet1[[#This Row],[Attendance ]]&lt;65,"Yes","No")</f>
        <v>No</v>
      </c>
    </row>
    <row r="700" spans="1:12" hidden="1" x14ac:dyDescent="0.35">
      <c r="A700" t="s">
        <v>741</v>
      </c>
      <c r="B700" t="s">
        <v>116</v>
      </c>
      <c r="C700" t="s">
        <v>20</v>
      </c>
      <c r="D700">
        <v>64.37</v>
      </c>
      <c r="E700" t="s">
        <v>5</v>
      </c>
      <c r="F700">
        <v>8.0299999999999994</v>
      </c>
      <c r="G700" t="s">
        <v>28</v>
      </c>
      <c r="H700" t="str">
        <f t="shared" si="68"/>
        <v>Passed</v>
      </c>
      <c r="I700" t="str">
        <f>IF(AND(Sheet1[[#This Row],[Attendance ]]&gt;65,Sheet1[[#This Row],[Attendance ]]&lt;75),"Yes","No")</f>
        <v>No</v>
      </c>
      <c r="J700" t="str">
        <f>IF(Sheet1[[#This Row],[Attendance ]]&lt;65,"Yes","No")</f>
        <v>Yes</v>
      </c>
    </row>
    <row r="701" spans="1:12" hidden="1" x14ac:dyDescent="0.35">
      <c r="A701" t="s">
        <v>742</v>
      </c>
      <c r="B701" t="s">
        <v>88</v>
      </c>
      <c r="C701" t="s">
        <v>20</v>
      </c>
      <c r="D701">
        <v>84.75</v>
      </c>
      <c r="E701" t="s">
        <v>5</v>
      </c>
      <c r="F701">
        <v>8.1300000000000008</v>
      </c>
      <c r="G701" t="s">
        <v>6</v>
      </c>
      <c r="H701" t="str">
        <f t="shared" si="68"/>
        <v>Passed</v>
      </c>
      <c r="I701" t="str">
        <f>IF(AND(Sheet1[[#This Row],[Attendance ]]&gt;65,Sheet1[[#This Row],[Attendance ]]&lt;75),"Yes","No")</f>
        <v>No</v>
      </c>
      <c r="J701" t="str">
        <f>IF(Sheet1[[#This Row],[Attendance ]]&lt;65,"Yes","No")</f>
        <v>No</v>
      </c>
    </row>
    <row r="702" spans="1:12" hidden="1" x14ac:dyDescent="0.35">
      <c r="A702" t="s">
        <v>743</v>
      </c>
      <c r="B702" t="s">
        <v>8</v>
      </c>
      <c r="C702" t="s">
        <v>20</v>
      </c>
      <c r="D702">
        <v>85.19</v>
      </c>
      <c r="E702" t="s">
        <v>5</v>
      </c>
      <c r="F702">
        <v>6.92</v>
      </c>
      <c r="G702" t="s">
        <v>11</v>
      </c>
      <c r="H702" t="str">
        <f t="shared" si="68"/>
        <v>Passed</v>
      </c>
      <c r="I702" t="str">
        <f>IF(AND(Sheet1[[#This Row],[Attendance ]]&gt;65,Sheet1[[#This Row],[Attendance ]]&lt;75),"Yes","No")</f>
        <v>No</v>
      </c>
      <c r="J702" t="str">
        <f>IF(Sheet1[[#This Row],[Attendance ]]&lt;65,"Yes","No")</f>
        <v>No</v>
      </c>
    </row>
    <row r="703" spans="1:12" hidden="1" x14ac:dyDescent="0.35">
      <c r="A703" t="s">
        <v>744</v>
      </c>
      <c r="B703" t="s">
        <v>15</v>
      </c>
      <c r="C703" t="s">
        <v>4</v>
      </c>
      <c r="D703">
        <v>76.900000000000006</v>
      </c>
      <c r="E703" t="s">
        <v>5</v>
      </c>
      <c r="F703">
        <v>9.6199999999999992</v>
      </c>
      <c r="G703" t="s">
        <v>11</v>
      </c>
      <c r="H703" t="str">
        <f t="shared" si="68"/>
        <v>Passed</v>
      </c>
      <c r="I703" t="str">
        <f>IF(AND(Sheet1[[#This Row],[Attendance ]]&gt;65,Sheet1[[#This Row],[Attendance ]]&lt;75),"Yes","No")</f>
        <v>No</v>
      </c>
      <c r="J703" t="str">
        <f>IF(Sheet1[[#This Row],[Attendance ]]&lt;65,"Yes","No")</f>
        <v>No</v>
      </c>
    </row>
    <row r="704" spans="1:12" x14ac:dyDescent="0.35">
      <c r="A704" t="s">
        <v>745</v>
      </c>
      <c r="B704" t="s">
        <v>34</v>
      </c>
      <c r="C704" t="s">
        <v>20</v>
      </c>
      <c r="D704">
        <v>68.099999999999994</v>
      </c>
      <c r="E704" t="s">
        <v>5</v>
      </c>
      <c r="F704">
        <v>5.33</v>
      </c>
      <c r="G704" t="s">
        <v>6</v>
      </c>
      <c r="H704" t="str">
        <f t="shared" si="68"/>
        <v>Passed</v>
      </c>
      <c r="I704" t="str">
        <f>IF(AND(Sheet1[[#This Row],[Attendance ]]&gt;65,Sheet1[[#This Row],[Attendance ]]&lt;75),"Yes","No")</f>
        <v>Yes</v>
      </c>
      <c r="J704" t="str">
        <f>IF(Sheet1[[#This Row],[Attendance ]]&lt;65,"Yes","No")</f>
        <v>No</v>
      </c>
      <c r="K704" t="str">
        <f>CHOOSE(MOD(ROW()-2,8)+1,
"Kadapa",
"Ananthapur",
"Rayachoti",
"Nellore",
"Chittoor",
"Madanapalli",
"Rajampeta",
"Tirupati")</f>
        <v>Rajampeta</v>
      </c>
      <c r="L704" t="str">
        <f>IF(AND(G702="4th Year",E702="Pass",F702&gt;=7),"Yes","No")</f>
        <v>No</v>
      </c>
    </row>
    <row r="705" spans="1:12" hidden="1" x14ac:dyDescent="0.35">
      <c r="A705" t="s">
        <v>746</v>
      </c>
      <c r="B705" t="s">
        <v>63</v>
      </c>
      <c r="C705" t="s">
        <v>13</v>
      </c>
      <c r="D705">
        <v>85.46</v>
      </c>
      <c r="E705" t="s">
        <v>5</v>
      </c>
      <c r="F705">
        <v>6.5</v>
      </c>
      <c r="G705" t="s">
        <v>26</v>
      </c>
      <c r="H705" t="str">
        <f t="shared" si="68"/>
        <v>Passed</v>
      </c>
      <c r="I705" t="str">
        <f>IF(AND(Sheet1[[#This Row],[Attendance ]]&gt;65,Sheet1[[#This Row],[Attendance ]]&lt;75),"Yes","No")</f>
        <v>No</v>
      </c>
      <c r="J705" t="str">
        <f>IF(Sheet1[[#This Row],[Attendance ]]&lt;65,"Yes","No")</f>
        <v>No</v>
      </c>
    </row>
    <row r="706" spans="1:12" hidden="1" x14ac:dyDescent="0.35">
      <c r="A706" t="s">
        <v>747</v>
      </c>
      <c r="B706" t="s">
        <v>110</v>
      </c>
      <c r="C706" t="s">
        <v>23</v>
      </c>
      <c r="D706">
        <v>95.26</v>
      </c>
      <c r="E706" t="s">
        <v>5</v>
      </c>
      <c r="F706">
        <v>6.01</v>
      </c>
      <c r="G706" t="s">
        <v>28</v>
      </c>
      <c r="H706" t="str">
        <f t="shared" ref="H706:H769" si="75">IF(E706="Pass","Passed",
IF(G706="1st Year","M1",
IF(G706="2nd Year","DBMS",
IF(G706="3rd Year","Machine Learning",
IF(G706="4th Year","Deep Learning","")))))</f>
        <v>Passed</v>
      </c>
      <c r="I706" t="str">
        <f>IF(AND(Sheet1[[#This Row],[Attendance ]]&gt;65,Sheet1[[#This Row],[Attendance ]]&lt;75),"Yes","No")</f>
        <v>No</v>
      </c>
      <c r="J706" t="str">
        <f>IF(Sheet1[[#This Row],[Attendance ]]&lt;65,"Yes","No")</f>
        <v>No</v>
      </c>
    </row>
    <row r="707" spans="1:12" hidden="1" x14ac:dyDescent="0.35">
      <c r="A707" t="s">
        <v>748</v>
      </c>
      <c r="B707" t="s">
        <v>149</v>
      </c>
      <c r="C707" t="s">
        <v>35</v>
      </c>
      <c r="D707">
        <v>95.09</v>
      </c>
      <c r="E707" t="s">
        <v>5</v>
      </c>
      <c r="F707">
        <v>6.13</v>
      </c>
      <c r="G707" t="s">
        <v>11</v>
      </c>
      <c r="H707" t="str">
        <f t="shared" si="75"/>
        <v>Passed</v>
      </c>
      <c r="I707" t="str">
        <f>IF(AND(Sheet1[[#This Row],[Attendance ]]&gt;65,Sheet1[[#This Row],[Attendance ]]&lt;75),"Yes","No")</f>
        <v>No</v>
      </c>
      <c r="J707" t="str">
        <f>IF(Sheet1[[#This Row],[Attendance ]]&lt;65,"Yes","No")</f>
        <v>No</v>
      </c>
    </row>
    <row r="708" spans="1:12" hidden="1" x14ac:dyDescent="0.35">
      <c r="A708" t="s">
        <v>749</v>
      </c>
      <c r="B708" t="s">
        <v>72</v>
      </c>
      <c r="C708" t="s">
        <v>20</v>
      </c>
      <c r="D708">
        <v>64.72</v>
      </c>
      <c r="E708" t="s">
        <v>5</v>
      </c>
      <c r="F708">
        <v>6.07</v>
      </c>
      <c r="G708" t="s">
        <v>11</v>
      </c>
      <c r="H708" t="str">
        <f t="shared" si="75"/>
        <v>Passed</v>
      </c>
      <c r="I708" t="str">
        <f>IF(AND(Sheet1[[#This Row],[Attendance ]]&gt;65,Sheet1[[#This Row],[Attendance ]]&lt;75),"Yes","No")</f>
        <v>No</v>
      </c>
      <c r="J708" t="str">
        <f>IF(Sheet1[[#This Row],[Attendance ]]&lt;65,"Yes","No")</f>
        <v>Yes</v>
      </c>
    </row>
    <row r="709" spans="1:12" hidden="1" x14ac:dyDescent="0.35">
      <c r="A709" t="s">
        <v>750</v>
      </c>
      <c r="B709" t="s">
        <v>39</v>
      </c>
      <c r="C709" t="s">
        <v>9</v>
      </c>
      <c r="D709">
        <v>83.77</v>
      </c>
      <c r="E709" t="s">
        <v>5</v>
      </c>
      <c r="F709">
        <v>7.6</v>
      </c>
      <c r="G709" t="s">
        <v>6</v>
      </c>
      <c r="H709" t="str">
        <f t="shared" si="75"/>
        <v>Passed</v>
      </c>
      <c r="I709" t="str">
        <f>IF(AND(Sheet1[[#This Row],[Attendance ]]&gt;65,Sheet1[[#This Row],[Attendance ]]&lt;75),"Yes","No")</f>
        <v>No</v>
      </c>
      <c r="J709" t="str">
        <f>IF(Sheet1[[#This Row],[Attendance ]]&lt;65,"Yes","No")</f>
        <v>No</v>
      </c>
    </row>
    <row r="710" spans="1:12" x14ac:dyDescent="0.35">
      <c r="A710" t="s">
        <v>751</v>
      </c>
      <c r="B710" t="s">
        <v>116</v>
      </c>
      <c r="C710" t="s">
        <v>20</v>
      </c>
      <c r="D710">
        <v>65.42</v>
      </c>
      <c r="E710" t="s">
        <v>10</v>
      </c>
      <c r="F710">
        <v>6.19</v>
      </c>
      <c r="G710" t="s">
        <v>26</v>
      </c>
      <c r="H710" t="str">
        <f t="shared" si="75"/>
        <v>Deep Learning</v>
      </c>
      <c r="I710" t="str">
        <f>IF(AND(Sheet1[[#This Row],[Attendance ]]&gt;65,Sheet1[[#This Row],[Attendance ]]&lt;75),"Yes","No")</f>
        <v>Yes</v>
      </c>
      <c r="J710" t="str">
        <f>IF(Sheet1[[#This Row],[Attendance ]]&lt;65,"Yes","No")</f>
        <v>No</v>
      </c>
      <c r="K710" t="str">
        <f>CHOOSE(MOD(ROW()-2,8)+1,
"Kadapa",
"Ananthapur",
"Rayachoti",
"Nellore",
"Chittoor",
"Madanapalli",
"Rajampeta",
"Tirupati")</f>
        <v>Chittoor</v>
      </c>
      <c r="L710" t="str">
        <f>IF(AND(G708="4th Year",E708="Pass",F708&gt;=7),"Yes","No")</f>
        <v>No</v>
      </c>
    </row>
    <row r="711" spans="1:12" hidden="1" x14ac:dyDescent="0.35">
      <c r="A711" t="s">
        <v>752</v>
      </c>
      <c r="B711" t="s">
        <v>164</v>
      </c>
      <c r="C711" t="s">
        <v>13</v>
      </c>
      <c r="D711">
        <v>62.1</v>
      </c>
      <c r="E711" t="s">
        <v>5</v>
      </c>
      <c r="F711">
        <v>7.37</v>
      </c>
      <c r="G711" t="s">
        <v>28</v>
      </c>
      <c r="H711" t="str">
        <f t="shared" si="75"/>
        <v>Passed</v>
      </c>
      <c r="I711" t="str">
        <f>IF(AND(Sheet1[[#This Row],[Attendance ]]&gt;65,Sheet1[[#This Row],[Attendance ]]&lt;75),"Yes","No")</f>
        <v>No</v>
      </c>
      <c r="J711" t="str">
        <f>IF(Sheet1[[#This Row],[Attendance ]]&lt;65,"Yes","No")</f>
        <v>Yes</v>
      </c>
    </row>
    <row r="712" spans="1:12" hidden="1" x14ac:dyDescent="0.35">
      <c r="A712" t="s">
        <v>753</v>
      </c>
      <c r="B712" t="s">
        <v>45</v>
      </c>
      <c r="C712" t="s">
        <v>9</v>
      </c>
      <c r="D712">
        <v>85.15</v>
      </c>
      <c r="E712" t="s">
        <v>5</v>
      </c>
      <c r="F712">
        <v>9.4700000000000006</v>
      </c>
      <c r="G712" t="s">
        <v>28</v>
      </c>
      <c r="H712" t="str">
        <f t="shared" si="75"/>
        <v>Passed</v>
      </c>
      <c r="I712" t="str">
        <f>IF(AND(Sheet1[[#This Row],[Attendance ]]&gt;65,Sheet1[[#This Row],[Attendance ]]&lt;75),"Yes","No")</f>
        <v>No</v>
      </c>
      <c r="J712" t="str">
        <f>IF(Sheet1[[#This Row],[Attendance ]]&lt;65,"Yes","No")</f>
        <v>No</v>
      </c>
    </row>
    <row r="713" spans="1:12" hidden="1" x14ac:dyDescent="0.35">
      <c r="A713" t="s">
        <v>754</v>
      </c>
      <c r="B713" t="s">
        <v>3</v>
      </c>
      <c r="C713" t="s">
        <v>23</v>
      </c>
      <c r="D713">
        <v>77.180000000000007</v>
      </c>
      <c r="E713" t="s">
        <v>5</v>
      </c>
      <c r="F713">
        <v>7.72</v>
      </c>
      <c r="G713" t="s">
        <v>28</v>
      </c>
      <c r="H713" t="str">
        <f t="shared" si="75"/>
        <v>Passed</v>
      </c>
      <c r="I713" t="str">
        <f>IF(AND(Sheet1[[#This Row],[Attendance ]]&gt;65,Sheet1[[#This Row],[Attendance ]]&lt;75),"Yes","No")</f>
        <v>No</v>
      </c>
      <c r="J713" t="str">
        <f>IF(Sheet1[[#This Row],[Attendance ]]&lt;65,"Yes","No")</f>
        <v>No</v>
      </c>
    </row>
    <row r="714" spans="1:12" x14ac:dyDescent="0.35">
      <c r="A714" t="s">
        <v>755</v>
      </c>
      <c r="B714" t="s">
        <v>149</v>
      </c>
      <c r="C714" t="s">
        <v>13</v>
      </c>
      <c r="D714">
        <v>73.260000000000005</v>
      </c>
      <c r="E714" t="s">
        <v>5</v>
      </c>
      <c r="F714">
        <v>5.3</v>
      </c>
      <c r="G714" t="s">
        <v>26</v>
      </c>
      <c r="H714" t="str">
        <f t="shared" si="75"/>
        <v>Passed</v>
      </c>
      <c r="I714" t="str">
        <f>IF(AND(Sheet1[[#This Row],[Attendance ]]&gt;65,Sheet1[[#This Row],[Attendance ]]&lt;75),"Yes","No")</f>
        <v>Yes</v>
      </c>
      <c r="J714" t="str">
        <f>IF(Sheet1[[#This Row],[Attendance ]]&lt;65,"Yes","No")</f>
        <v>No</v>
      </c>
      <c r="K714" t="str">
        <f>CHOOSE(MOD(ROW()-2,8)+1,
"Kadapa",
"Ananthapur",
"Rayachoti",
"Nellore",
"Chittoor",
"Madanapalli",
"Rajampeta",
"Tirupati")</f>
        <v>Kadapa</v>
      </c>
      <c r="L714" t="str">
        <f>IF(AND(G712="4th Year",E712="Pass",F712&gt;=7),"Yes","No")</f>
        <v>No</v>
      </c>
    </row>
    <row r="715" spans="1:12" hidden="1" x14ac:dyDescent="0.35">
      <c r="A715" t="s">
        <v>756</v>
      </c>
      <c r="B715" t="s">
        <v>37</v>
      </c>
      <c r="C715" t="s">
        <v>20</v>
      </c>
      <c r="D715">
        <v>86.31</v>
      </c>
      <c r="E715" t="s">
        <v>5</v>
      </c>
      <c r="F715">
        <v>8.11</v>
      </c>
      <c r="G715" t="s">
        <v>11</v>
      </c>
      <c r="H715" t="str">
        <f t="shared" si="75"/>
        <v>Passed</v>
      </c>
      <c r="I715" t="str">
        <f>IF(AND(Sheet1[[#This Row],[Attendance ]]&gt;65,Sheet1[[#This Row],[Attendance ]]&lt;75),"Yes","No")</f>
        <v>No</v>
      </c>
      <c r="J715" t="str">
        <f>IF(Sheet1[[#This Row],[Attendance ]]&lt;65,"Yes","No")</f>
        <v>No</v>
      </c>
    </row>
    <row r="716" spans="1:12" hidden="1" x14ac:dyDescent="0.35">
      <c r="A716" t="s">
        <v>757</v>
      </c>
      <c r="B716" t="s">
        <v>58</v>
      </c>
      <c r="C716" t="s">
        <v>9</v>
      </c>
      <c r="D716">
        <v>93.91</v>
      </c>
      <c r="E716" t="s">
        <v>5</v>
      </c>
      <c r="F716">
        <v>6.37</v>
      </c>
      <c r="G716" t="s">
        <v>26</v>
      </c>
      <c r="H716" t="str">
        <f t="shared" si="75"/>
        <v>Passed</v>
      </c>
      <c r="I716" t="str">
        <f>IF(AND(Sheet1[[#This Row],[Attendance ]]&gt;65,Sheet1[[#This Row],[Attendance ]]&lt;75),"Yes","No")</f>
        <v>No</v>
      </c>
      <c r="J716" t="str">
        <f>IF(Sheet1[[#This Row],[Attendance ]]&lt;65,"Yes","No")</f>
        <v>No</v>
      </c>
    </row>
    <row r="717" spans="1:12" x14ac:dyDescent="0.35">
      <c r="A717" t="s">
        <v>758</v>
      </c>
      <c r="B717" t="s">
        <v>103</v>
      </c>
      <c r="C717" t="s">
        <v>9</v>
      </c>
      <c r="D717">
        <v>66.11</v>
      </c>
      <c r="E717" t="s">
        <v>5</v>
      </c>
      <c r="F717">
        <v>7.09</v>
      </c>
      <c r="G717" t="s">
        <v>28</v>
      </c>
      <c r="H717" t="str">
        <f t="shared" si="75"/>
        <v>Passed</v>
      </c>
      <c r="I717" t="str">
        <f>IF(AND(Sheet1[[#This Row],[Attendance ]]&gt;65,Sheet1[[#This Row],[Attendance ]]&lt;75),"Yes","No")</f>
        <v>Yes</v>
      </c>
      <c r="J717" t="str">
        <f>IF(Sheet1[[#This Row],[Attendance ]]&lt;65,"Yes","No")</f>
        <v>No</v>
      </c>
      <c r="K717" t="str">
        <f>CHOOSE(MOD(ROW()-2,8)+1,
"Kadapa",
"Ananthapur",
"Rayachoti",
"Nellore",
"Chittoor",
"Madanapalli",
"Rajampeta",
"Tirupati")</f>
        <v>Nellore</v>
      </c>
      <c r="L717" t="str">
        <f>IF(AND(G715="4th Year",E715="Pass",F715&gt;=7),"Yes","No")</f>
        <v>No</v>
      </c>
    </row>
    <row r="718" spans="1:12" hidden="1" x14ac:dyDescent="0.35">
      <c r="A718" t="s">
        <v>759</v>
      </c>
      <c r="B718" t="s">
        <v>45</v>
      </c>
      <c r="C718" t="s">
        <v>23</v>
      </c>
      <c r="D718">
        <v>78.25</v>
      </c>
      <c r="E718" t="s">
        <v>5</v>
      </c>
      <c r="F718">
        <v>8.42</v>
      </c>
      <c r="G718" t="s">
        <v>26</v>
      </c>
      <c r="H718" t="str">
        <f t="shared" si="75"/>
        <v>Passed</v>
      </c>
      <c r="I718" t="str">
        <f>IF(AND(Sheet1[[#This Row],[Attendance ]]&gt;65,Sheet1[[#This Row],[Attendance ]]&lt;75),"Yes","No")</f>
        <v>No</v>
      </c>
      <c r="J718" t="str">
        <f>IF(Sheet1[[#This Row],[Attendance ]]&lt;65,"Yes","No")</f>
        <v>No</v>
      </c>
    </row>
    <row r="719" spans="1:12" hidden="1" x14ac:dyDescent="0.35">
      <c r="A719" t="s">
        <v>760</v>
      </c>
      <c r="B719" t="s">
        <v>61</v>
      </c>
      <c r="C719" t="s">
        <v>20</v>
      </c>
      <c r="D719">
        <v>92.03</v>
      </c>
      <c r="E719" t="s">
        <v>5</v>
      </c>
      <c r="F719">
        <v>9.2899999999999991</v>
      </c>
      <c r="G719" t="s">
        <v>28</v>
      </c>
      <c r="H719" t="str">
        <f t="shared" si="75"/>
        <v>Passed</v>
      </c>
      <c r="I719" t="str">
        <f>IF(AND(Sheet1[[#This Row],[Attendance ]]&gt;65,Sheet1[[#This Row],[Attendance ]]&lt;75),"Yes","No")</f>
        <v>No</v>
      </c>
      <c r="J719" t="str">
        <f>IF(Sheet1[[#This Row],[Attendance ]]&lt;65,"Yes","No")</f>
        <v>No</v>
      </c>
    </row>
    <row r="720" spans="1:12" hidden="1" x14ac:dyDescent="0.35">
      <c r="A720" t="s">
        <v>761</v>
      </c>
      <c r="B720" t="s">
        <v>77</v>
      </c>
      <c r="C720" t="s">
        <v>9</v>
      </c>
      <c r="D720">
        <v>96</v>
      </c>
      <c r="E720" t="s">
        <v>5</v>
      </c>
      <c r="F720">
        <v>9.56</v>
      </c>
      <c r="G720" t="s">
        <v>28</v>
      </c>
      <c r="H720" t="str">
        <f t="shared" si="75"/>
        <v>Passed</v>
      </c>
      <c r="I720" t="str">
        <f>IF(AND(Sheet1[[#This Row],[Attendance ]]&gt;65,Sheet1[[#This Row],[Attendance ]]&lt;75),"Yes","No")</f>
        <v>No</v>
      </c>
      <c r="J720" t="str">
        <f>IF(Sheet1[[#This Row],[Attendance ]]&lt;65,"Yes","No")</f>
        <v>No</v>
      </c>
    </row>
    <row r="721" spans="1:12" hidden="1" x14ac:dyDescent="0.35">
      <c r="A721" t="s">
        <v>762</v>
      </c>
      <c r="B721" t="s">
        <v>51</v>
      </c>
      <c r="C721" t="s">
        <v>23</v>
      </c>
      <c r="D721">
        <v>88.98</v>
      </c>
      <c r="E721" t="s">
        <v>5</v>
      </c>
      <c r="F721">
        <v>9.26</v>
      </c>
      <c r="G721" t="s">
        <v>28</v>
      </c>
      <c r="H721" t="str">
        <f t="shared" si="75"/>
        <v>Passed</v>
      </c>
      <c r="I721" t="str">
        <f>IF(AND(Sheet1[[#This Row],[Attendance ]]&gt;65,Sheet1[[#This Row],[Attendance ]]&lt;75),"Yes","No")</f>
        <v>No</v>
      </c>
      <c r="J721" t="str">
        <f>IF(Sheet1[[#This Row],[Attendance ]]&lt;65,"Yes","No")</f>
        <v>No</v>
      </c>
    </row>
    <row r="722" spans="1:12" hidden="1" x14ac:dyDescent="0.35">
      <c r="A722" t="s">
        <v>763</v>
      </c>
      <c r="B722" t="s">
        <v>30</v>
      </c>
      <c r="C722" t="s">
        <v>4</v>
      </c>
      <c r="D722">
        <v>63.95</v>
      </c>
      <c r="E722" t="s">
        <v>5</v>
      </c>
      <c r="F722">
        <v>5.94</v>
      </c>
      <c r="G722" t="s">
        <v>6</v>
      </c>
      <c r="H722" t="str">
        <f t="shared" si="75"/>
        <v>Passed</v>
      </c>
      <c r="I722" t="str">
        <f>IF(AND(Sheet1[[#This Row],[Attendance ]]&gt;65,Sheet1[[#This Row],[Attendance ]]&lt;75),"Yes","No")</f>
        <v>No</v>
      </c>
      <c r="J722" t="str">
        <f>IF(Sheet1[[#This Row],[Attendance ]]&lt;65,"Yes","No")</f>
        <v>Yes</v>
      </c>
    </row>
    <row r="723" spans="1:12" hidden="1" x14ac:dyDescent="0.35">
      <c r="A723" t="s">
        <v>764</v>
      </c>
      <c r="B723" t="s">
        <v>107</v>
      </c>
      <c r="C723" t="s">
        <v>35</v>
      </c>
      <c r="D723">
        <v>97.78</v>
      </c>
      <c r="E723" t="s">
        <v>5</v>
      </c>
      <c r="F723">
        <v>9.3699999999999992</v>
      </c>
      <c r="G723" t="s">
        <v>11</v>
      </c>
      <c r="H723" t="str">
        <f t="shared" si="75"/>
        <v>Passed</v>
      </c>
      <c r="I723" t="str">
        <f>IF(AND(Sheet1[[#This Row],[Attendance ]]&gt;65,Sheet1[[#This Row],[Attendance ]]&lt;75),"Yes","No")</f>
        <v>No</v>
      </c>
      <c r="J723" t="str">
        <f>IF(Sheet1[[#This Row],[Attendance ]]&lt;65,"Yes","No")</f>
        <v>No</v>
      </c>
    </row>
    <row r="724" spans="1:12" hidden="1" x14ac:dyDescent="0.35">
      <c r="A724" t="s">
        <v>765</v>
      </c>
      <c r="B724" t="s">
        <v>30</v>
      </c>
      <c r="C724" t="s">
        <v>9</v>
      </c>
      <c r="D724">
        <v>93.1</v>
      </c>
      <c r="E724" t="s">
        <v>5</v>
      </c>
      <c r="F724">
        <v>8.2200000000000006</v>
      </c>
      <c r="G724" t="s">
        <v>11</v>
      </c>
      <c r="H724" t="str">
        <f t="shared" si="75"/>
        <v>Passed</v>
      </c>
      <c r="I724" t="str">
        <f>IF(AND(Sheet1[[#This Row],[Attendance ]]&gt;65,Sheet1[[#This Row],[Attendance ]]&lt;75),"Yes","No")</f>
        <v>No</v>
      </c>
      <c r="J724" t="str">
        <f>IF(Sheet1[[#This Row],[Attendance ]]&lt;65,"Yes","No")</f>
        <v>No</v>
      </c>
    </row>
    <row r="725" spans="1:12" hidden="1" x14ac:dyDescent="0.35">
      <c r="A725" t="s">
        <v>766</v>
      </c>
      <c r="B725" t="s">
        <v>39</v>
      </c>
      <c r="C725" t="s">
        <v>23</v>
      </c>
      <c r="D725">
        <v>98.48</v>
      </c>
      <c r="E725" t="s">
        <v>5</v>
      </c>
      <c r="F725">
        <v>7.01</v>
      </c>
      <c r="G725" t="s">
        <v>6</v>
      </c>
      <c r="H725" t="str">
        <f t="shared" si="75"/>
        <v>Passed</v>
      </c>
      <c r="I725" t="str">
        <f>IF(AND(Sheet1[[#This Row],[Attendance ]]&gt;65,Sheet1[[#This Row],[Attendance ]]&lt;75),"Yes","No")</f>
        <v>No</v>
      </c>
      <c r="J725" t="str">
        <f>IF(Sheet1[[#This Row],[Attendance ]]&lt;65,"Yes","No")</f>
        <v>No</v>
      </c>
    </row>
    <row r="726" spans="1:12" hidden="1" x14ac:dyDescent="0.35">
      <c r="A726" t="s">
        <v>767</v>
      </c>
      <c r="B726" t="s">
        <v>72</v>
      </c>
      <c r="C726" t="s">
        <v>13</v>
      </c>
      <c r="D726">
        <v>86.32</v>
      </c>
      <c r="E726" t="s">
        <v>5</v>
      </c>
      <c r="F726">
        <v>8.94</v>
      </c>
      <c r="G726" t="s">
        <v>6</v>
      </c>
      <c r="H726" t="str">
        <f t="shared" si="75"/>
        <v>Passed</v>
      </c>
      <c r="I726" t="str">
        <f>IF(AND(Sheet1[[#This Row],[Attendance ]]&gt;65,Sheet1[[#This Row],[Attendance ]]&lt;75),"Yes","No")</f>
        <v>No</v>
      </c>
      <c r="J726" t="str">
        <f>IF(Sheet1[[#This Row],[Attendance ]]&lt;65,"Yes","No")</f>
        <v>No</v>
      </c>
    </row>
    <row r="727" spans="1:12" hidden="1" x14ac:dyDescent="0.35">
      <c r="A727" t="s">
        <v>768</v>
      </c>
      <c r="B727" t="s">
        <v>110</v>
      </c>
      <c r="C727" t="s">
        <v>20</v>
      </c>
      <c r="D727">
        <v>98.14</v>
      </c>
      <c r="E727" t="s">
        <v>5</v>
      </c>
      <c r="F727">
        <v>7.36</v>
      </c>
      <c r="G727" t="s">
        <v>11</v>
      </c>
      <c r="H727" t="str">
        <f t="shared" si="75"/>
        <v>Passed</v>
      </c>
      <c r="I727" t="str">
        <f>IF(AND(Sheet1[[#This Row],[Attendance ]]&gt;65,Sheet1[[#This Row],[Attendance ]]&lt;75),"Yes","No")</f>
        <v>No</v>
      </c>
      <c r="J727" t="str">
        <f>IF(Sheet1[[#This Row],[Attendance ]]&lt;65,"Yes","No")</f>
        <v>No</v>
      </c>
    </row>
    <row r="728" spans="1:12" x14ac:dyDescent="0.35">
      <c r="A728" t="s">
        <v>769</v>
      </c>
      <c r="B728" t="s">
        <v>25</v>
      </c>
      <c r="C728" t="s">
        <v>9</v>
      </c>
      <c r="D728">
        <v>74.66</v>
      </c>
      <c r="E728" t="s">
        <v>5</v>
      </c>
      <c r="F728">
        <v>7.26</v>
      </c>
      <c r="G728" t="s">
        <v>6</v>
      </c>
      <c r="H728" t="str">
        <f t="shared" si="75"/>
        <v>Passed</v>
      </c>
      <c r="I728" t="str">
        <f>IF(AND(Sheet1[[#This Row],[Attendance ]]&gt;65,Sheet1[[#This Row],[Attendance ]]&lt;75),"Yes","No")</f>
        <v>Yes</v>
      </c>
      <c r="J728" t="str">
        <f>IF(Sheet1[[#This Row],[Attendance ]]&lt;65,"Yes","No")</f>
        <v>No</v>
      </c>
      <c r="K728" t="str">
        <f t="shared" ref="K728:K729" si="76">CHOOSE(MOD(ROW()-2,8)+1,
"Kadapa",
"Ananthapur",
"Rayachoti",
"Nellore",
"Chittoor",
"Madanapalli",
"Rajampeta",
"Tirupati")</f>
        <v>Rajampeta</v>
      </c>
      <c r="L728" t="str">
        <f t="shared" ref="L728:L729" si="77">IF(AND(G726="4th Year",E726="Pass",F726&gt;=7),"Yes","No")</f>
        <v>No</v>
      </c>
    </row>
    <row r="729" spans="1:12" x14ac:dyDescent="0.35">
      <c r="A729" t="s">
        <v>770</v>
      </c>
      <c r="B729" t="s">
        <v>8</v>
      </c>
      <c r="C729" t="s">
        <v>13</v>
      </c>
      <c r="D729">
        <v>70.8</v>
      </c>
      <c r="E729" t="s">
        <v>5</v>
      </c>
      <c r="F729">
        <v>6.13</v>
      </c>
      <c r="G729" t="s">
        <v>28</v>
      </c>
      <c r="H729" t="str">
        <f t="shared" si="75"/>
        <v>Passed</v>
      </c>
      <c r="I729" t="str">
        <f>IF(AND(Sheet1[[#This Row],[Attendance ]]&gt;65,Sheet1[[#This Row],[Attendance ]]&lt;75),"Yes","No")</f>
        <v>Yes</v>
      </c>
      <c r="J729" t="str">
        <f>IF(Sheet1[[#This Row],[Attendance ]]&lt;65,"Yes","No")</f>
        <v>No</v>
      </c>
      <c r="K729" t="str">
        <f t="shared" si="76"/>
        <v>Tirupati</v>
      </c>
      <c r="L729" t="str">
        <f t="shared" si="77"/>
        <v>No</v>
      </c>
    </row>
    <row r="730" spans="1:12" hidden="1" x14ac:dyDescent="0.35">
      <c r="A730" t="s">
        <v>771</v>
      </c>
      <c r="B730" t="s">
        <v>37</v>
      </c>
      <c r="C730" t="s">
        <v>9</v>
      </c>
      <c r="D730">
        <v>97.28</v>
      </c>
      <c r="E730" t="s">
        <v>5</v>
      </c>
      <c r="F730">
        <v>7.46</v>
      </c>
      <c r="G730" t="s">
        <v>6</v>
      </c>
      <c r="H730" t="str">
        <f t="shared" si="75"/>
        <v>Passed</v>
      </c>
      <c r="I730" t="str">
        <f>IF(AND(Sheet1[[#This Row],[Attendance ]]&gt;65,Sheet1[[#This Row],[Attendance ]]&lt;75),"Yes","No")</f>
        <v>No</v>
      </c>
      <c r="J730" t="str">
        <f>IF(Sheet1[[#This Row],[Attendance ]]&lt;65,"Yes","No")</f>
        <v>No</v>
      </c>
    </row>
    <row r="731" spans="1:12" hidden="1" x14ac:dyDescent="0.35">
      <c r="A731" t="s">
        <v>772</v>
      </c>
      <c r="B731" t="s">
        <v>12</v>
      </c>
      <c r="C731" t="s">
        <v>9</v>
      </c>
      <c r="D731">
        <v>63.98</v>
      </c>
      <c r="E731" t="s">
        <v>5</v>
      </c>
      <c r="F731">
        <v>5.15</v>
      </c>
      <c r="G731" t="s">
        <v>28</v>
      </c>
      <c r="H731" t="str">
        <f t="shared" si="75"/>
        <v>Passed</v>
      </c>
      <c r="I731" t="str">
        <f>IF(AND(Sheet1[[#This Row],[Attendance ]]&gt;65,Sheet1[[#This Row],[Attendance ]]&lt;75),"Yes","No")</f>
        <v>No</v>
      </c>
      <c r="J731" t="str">
        <f>IF(Sheet1[[#This Row],[Attendance ]]&lt;65,"Yes","No")</f>
        <v>Yes</v>
      </c>
    </row>
    <row r="732" spans="1:12" hidden="1" x14ac:dyDescent="0.35">
      <c r="A732" t="s">
        <v>773</v>
      </c>
      <c r="B732" t="s">
        <v>110</v>
      </c>
      <c r="C732" t="s">
        <v>4</v>
      </c>
      <c r="D732">
        <v>98.65</v>
      </c>
      <c r="E732" t="s">
        <v>5</v>
      </c>
      <c r="F732">
        <v>7.77</v>
      </c>
      <c r="G732" t="s">
        <v>11</v>
      </c>
      <c r="H732" t="str">
        <f t="shared" si="75"/>
        <v>Passed</v>
      </c>
      <c r="I732" t="str">
        <f>IF(AND(Sheet1[[#This Row],[Attendance ]]&gt;65,Sheet1[[#This Row],[Attendance ]]&lt;75),"Yes","No")</f>
        <v>No</v>
      </c>
      <c r="J732" t="str">
        <f>IF(Sheet1[[#This Row],[Attendance ]]&lt;65,"Yes","No")</f>
        <v>No</v>
      </c>
    </row>
    <row r="733" spans="1:12" hidden="1" x14ac:dyDescent="0.35">
      <c r="A733" t="s">
        <v>774</v>
      </c>
      <c r="B733" t="s">
        <v>25</v>
      </c>
      <c r="C733" t="s">
        <v>9</v>
      </c>
      <c r="D733">
        <v>60.37</v>
      </c>
      <c r="E733" t="s">
        <v>5</v>
      </c>
      <c r="F733">
        <v>5.48</v>
      </c>
      <c r="G733" t="s">
        <v>28</v>
      </c>
      <c r="H733" t="str">
        <f t="shared" si="75"/>
        <v>Passed</v>
      </c>
      <c r="I733" t="str">
        <f>IF(AND(Sheet1[[#This Row],[Attendance ]]&gt;65,Sheet1[[#This Row],[Attendance ]]&lt;75),"Yes","No")</f>
        <v>No</v>
      </c>
      <c r="J733" t="str">
        <f>IF(Sheet1[[#This Row],[Attendance ]]&lt;65,"Yes","No")</f>
        <v>Yes</v>
      </c>
    </row>
    <row r="734" spans="1:12" hidden="1" x14ac:dyDescent="0.35">
      <c r="A734" t="s">
        <v>775</v>
      </c>
      <c r="B734" t="s">
        <v>116</v>
      </c>
      <c r="C734" t="s">
        <v>4</v>
      </c>
      <c r="D734">
        <v>88.78</v>
      </c>
      <c r="E734" t="s">
        <v>5</v>
      </c>
      <c r="F734">
        <v>6.47</v>
      </c>
      <c r="G734" t="s">
        <v>6</v>
      </c>
      <c r="H734" t="str">
        <f t="shared" si="75"/>
        <v>Passed</v>
      </c>
      <c r="I734" t="str">
        <f>IF(AND(Sheet1[[#This Row],[Attendance ]]&gt;65,Sheet1[[#This Row],[Attendance ]]&lt;75),"Yes","No")</f>
        <v>No</v>
      </c>
      <c r="J734" t="str">
        <f>IF(Sheet1[[#This Row],[Attendance ]]&lt;65,"Yes","No")</f>
        <v>No</v>
      </c>
    </row>
    <row r="735" spans="1:12" hidden="1" x14ac:dyDescent="0.35">
      <c r="A735" t="s">
        <v>776</v>
      </c>
      <c r="B735" t="s">
        <v>39</v>
      </c>
      <c r="C735" t="s">
        <v>20</v>
      </c>
      <c r="D735">
        <v>86.03</v>
      </c>
      <c r="E735" t="s">
        <v>5</v>
      </c>
      <c r="F735">
        <v>7.14</v>
      </c>
      <c r="G735" t="s">
        <v>26</v>
      </c>
      <c r="H735" t="str">
        <f t="shared" si="75"/>
        <v>Passed</v>
      </c>
      <c r="I735" t="str">
        <f>IF(AND(Sheet1[[#This Row],[Attendance ]]&gt;65,Sheet1[[#This Row],[Attendance ]]&lt;75),"Yes","No")</f>
        <v>No</v>
      </c>
      <c r="J735" t="str">
        <f>IF(Sheet1[[#This Row],[Attendance ]]&lt;65,"Yes","No")</f>
        <v>No</v>
      </c>
    </row>
    <row r="736" spans="1:12" hidden="1" x14ac:dyDescent="0.35">
      <c r="A736" t="s">
        <v>777</v>
      </c>
      <c r="B736" t="s">
        <v>88</v>
      </c>
      <c r="C736" t="s">
        <v>23</v>
      </c>
      <c r="D736">
        <v>86.19</v>
      </c>
      <c r="E736" t="s">
        <v>5</v>
      </c>
      <c r="F736">
        <v>7.02</v>
      </c>
      <c r="G736" t="s">
        <v>6</v>
      </c>
      <c r="H736" t="str">
        <f t="shared" si="75"/>
        <v>Passed</v>
      </c>
      <c r="I736" t="str">
        <f>IF(AND(Sheet1[[#This Row],[Attendance ]]&gt;65,Sheet1[[#This Row],[Attendance ]]&lt;75),"Yes","No")</f>
        <v>No</v>
      </c>
      <c r="J736" t="str">
        <f>IF(Sheet1[[#This Row],[Attendance ]]&lt;65,"Yes","No")</f>
        <v>No</v>
      </c>
    </row>
    <row r="737" spans="1:12" x14ac:dyDescent="0.35">
      <c r="A737" t="s">
        <v>778</v>
      </c>
      <c r="B737" t="s">
        <v>43</v>
      </c>
      <c r="C737" t="s">
        <v>9</v>
      </c>
      <c r="D737">
        <v>67.67</v>
      </c>
      <c r="E737" t="s">
        <v>5</v>
      </c>
      <c r="F737">
        <v>6.84</v>
      </c>
      <c r="G737" t="s">
        <v>26</v>
      </c>
      <c r="H737" t="str">
        <f t="shared" si="75"/>
        <v>Passed</v>
      </c>
      <c r="I737" t="str">
        <f>IF(AND(Sheet1[[#This Row],[Attendance ]]&gt;65,Sheet1[[#This Row],[Attendance ]]&lt;75),"Yes","No")</f>
        <v>Yes</v>
      </c>
      <c r="J737" t="str">
        <f>IF(Sheet1[[#This Row],[Attendance ]]&lt;65,"Yes","No")</f>
        <v>No</v>
      </c>
      <c r="K737" t="str">
        <f>CHOOSE(MOD(ROW()-2,8)+1,
"Kadapa",
"Ananthapur",
"Rayachoti",
"Nellore",
"Chittoor",
"Madanapalli",
"Rajampeta",
"Tirupati")</f>
        <v>Tirupati</v>
      </c>
      <c r="L737" t="str">
        <f>IF(AND(G735="4th Year",E735="Pass",F735&gt;=7),"Yes","No")</f>
        <v>Yes</v>
      </c>
    </row>
    <row r="738" spans="1:12" hidden="1" x14ac:dyDescent="0.35">
      <c r="A738" t="s">
        <v>779</v>
      </c>
      <c r="B738" t="s">
        <v>32</v>
      </c>
      <c r="C738" t="s">
        <v>23</v>
      </c>
      <c r="D738">
        <v>60.14</v>
      </c>
      <c r="E738" t="s">
        <v>5</v>
      </c>
      <c r="F738">
        <v>5.18</v>
      </c>
      <c r="G738" t="s">
        <v>11</v>
      </c>
      <c r="H738" t="str">
        <f t="shared" si="75"/>
        <v>Passed</v>
      </c>
      <c r="I738" t="str">
        <f>IF(AND(Sheet1[[#This Row],[Attendance ]]&gt;65,Sheet1[[#This Row],[Attendance ]]&lt;75),"Yes","No")</f>
        <v>No</v>
      </c>
      <c r="J738" t="str">
        <f>IF(Sheet1[[#This Row],[Attendance ]]&lt;65,"Yes","No")</f>
        <v>Yes</v>
      </c>
    </row>
    <row r="739" spans="1:12" hidden="1" x14ac:dyDescent="0.35">
      <c r="A739" t="s">
        <v>780</v>
      </c>
      <c r="B739" t="s">
        <v>43</v>
      </c>
      <c r="C739" t="s">
        <v>13</v>
      </c>
      <c r="D739">
        <v>78.53</v>
      </c>
      <c r="E739" t="s">
        <v>5</v>
      </c>
      <c r="F739">
        <v>6.95</v>
      </c>
      <c r="G739" t="s">
        <v>6</v>
      </c>
      <c r="H739" t="str">
        <f t="shared" si="75"/>
        <v>Passed</v>
      </c>
      <c r="I739" t="str">
        <f>IF(AND(Sheet1[[#This Row],[Attendance ]]&gt;65,Sheet1[[#This Row],[Attendance ]]&lt;75),"Yes","No")</f>
        <v>No</v>
      </c>
      <c r="J739" t="str">
        <f>IF(Sheet1[[#This Row],[Attendance ]]&lt;65,"Yes","No")</f>
        <v>No</v>
      </c>
    </row>
    <row r="740" spans="1:12" hidden="1" x14ac:dyDescent="0.35">
      <c r="A740" t="s">
        <v>781</v>
      </c>
      <c r="B740" t="s">
        <v>19</v>
      </c>
      <c r="C740" t="s">
        <v>35</v>
      </c>
      <c r="D740">
        <v>63.32</v>
      </c>
      <c r="E740" t="s">
        <v>5</v>
      </c>
      <c r="F740">
        <v>8.1300000000000008</v>
      </c>
      <c r="G740" t="s">
        <v>11</v>
      </c>
      <c r="H740" t="str">
        <f t="shared" si="75"/>
        <v>Passed</v>
      </c>
      <c r="I740" t="str">
        <f>IF(AND(Sheet1[[#This Row],[Attendance ]]&gt;65,Sheet1[[#This Row],[Attendance ]]&lt;75),"Yes","No")</f>
        <v>No</v>
      </c>
      <c r="J740" t="str">
        <f>IF(Sheet1[[#This Row],[Attendance ]]&lt;65,"Yes","No")</f>
        <v>Yes</v>
      </c>
    </row>
    <row r="741" spans="1:12" hidden="1" x14ac:dyDescent="0.35">
      <c r="A741" t="s">
        <v>782</v>
      </c>
      <c r="B741" t="s">
        <v>88</v>
      </c>
      <c r="C741" t="s">
        <v>20</v>
      </c>
      <c r="D741">
        <v>99.82</v>
      </c>
      <c r="E741" t="s">
        <v>5</v>
      </c>
      <c r="F741">
        <v>6.35</v>
      </c>
      <c r="G741" t="s">
        <v>11</v>
      </c>
      <c r="H741" t="str">
        <f t="shared" si="75"/>
        <v>Passed</v>
      </c>
      <c r="I741" t="str">
        <f>IF(AND(Sheet1[[#This Row],[Attendance ]]&gt;65,Sheet1[[#This Row],[Attendance ]]&lt;75),"Yes","No")</f>
        <v>No</v>
      </c>
      <c r="J741" t="str">
        <f>IF(Sheet1[[#This Row],[Attendance ]]&lt;65,"Yes","No")</f>
        <v>No</v>
      </c>
    </row>
    <row r="742" spans="1:12" hidden="1" x14ac:dyDescent="0.35">
      <c r="A742" t="s">
        <v>783</v>
      </c>
      <c r="B742" t="s">
        <v>39</v>
      </c>
      <c r="C742" t="s">
        <v>23</v>
      </c>
      <c r="D742">
        <v>98.96</v>
      </c>
      <c r="E742" t="s">
        <v>10</v>
      </c>
      <c r="F742">
        <v>5.31</v>
      </c>
      <c r="G742" t="s">
        <v>26</v>
      </c>
      <c r="H742" t="str">
        <f t="shared" si="75"/>
        <v>Deep Learning</v>
      </c>
      <c r="I742" t="str">
        <f>IF(AND(Sheet1[[#This Row],[Attendance ]]&gt;65,Sheet1[[#This Row],[Attendance ]]&lt;75),"Yes","No")</f>
        <v>No</v>
      </c>
      <c r="J742" t="str">
        <f>IF(Sheet1[[#This Row],[Attendance ]]&lt;65,"Yes","No")</f>
        <v>No</v>
      </c>
    </row>
    <row r="743" spans="1:12" x14ac:dyDescent="0.35">
      <c r="A743" t="s">
        <v>784</v>
      </c>
      <c r="B743" t="s">
        <v>32</v>
      </c>
      <c r="C743" t="s">
        <v>20</v>
      </c>
      <c r="D743">
        <v>68.319999999999993</v>
      </c>
      <c r="E743" t="s">
        <v>5</v>
      </c>
      <c r="F743">
        <v>7.31</v>
      </c>
      <c r="G743" t="s">
        <v>26</v>
      </c>
      <c r="H743" t="str">
        <f t="shared" si="75"/>
        <v>Passed</v>
      </c>
      <c r="I743" t="str">
        <f>IF(AND(Sheet1[[#This Row],[Attendance ]]&gt;65,Sheet1[[#This Row],[Attendance ]]&lt;75),"Yes","No")</f>
        <v>Yes</v>
      </c>
      <c r="J743" t="str">
        <f>IF(Sheet1[[#This Row],[Attendance ]]&lt;65,"Yes","No")</f>
        <v>No</v>
      </c>
      <c r="K743" t="str">
        <f>CHOOSE(MOD(ROW()-2,8)+1,
"Kadapa",
"Ananthapur",
"Rayachoti",
"Nellore",
"Chittoor",
"Madanapalli",
"Rajampeta",
"Tirupati")</f>
        <v>Madanapalli</v>
      </c>
      <c r="L743" t="str">
        <f>IF(AND(G741="4th Year",E741="Pass",F741&gt;=7),"Yes","No")</f>
        <v>No</v>
      </c>
    </row>
    <row r="744" spans="1:12" hidden="1" x14ac:dyDescent="0.35">
      <c r="A744" t="s">
        <v>785</v>
      </c>
      <c r="B744" t="s">
        <v>25</v>
      </c>
      <c r="C744" t="s">
        <v>9</v>
      </c>
      <c r="D744">
        <v>75.52</v>
      </c>
      <c r="E744" t="s">
        <v>5</v>
      </c>
      <c r="F744">
        <v>7.27</v>
      </c>
      <c r="G744" t="s">
        <v>28</v>
      </c>
      <c r="H744" t="str">
        <f t="shared" si="75"/>
        <v>Passed</v>
      </c>
      <c r="I744" t="str">
        <f>IF(AND(Sheet1[[#This Row],[Attendance ]]&gt;65,Sheet1[[#This Row],[Attendance ]]&lt;75),"Yes","No")</f>
        <v>No</v>
      </c>
      <c r="J744" t="str">
        <f>IF(Sheet1[[#This Row],[Attendance ]]&lt;65,"Yes","No")</f>
        <v>No</v>
      </c>
    </row>
    <row r="745" spans="1:12" hidden="1" x14ac:dyDescent="0.35">
      <c r="A745" t="s">
        <v>786</v>
      </c>
      <c r="B745" t="s">
        <v>43</v>
      </c>
      <c r="C745" t="s">
        <v>4</v>
      </c>
      <c r="D745">
        <v>87.61</v>
      </c>
      <c r="E745" t="s">
        <v>10</v>
      </c>
      <c r="F745">
        <v>5.21</v>
      </c>
      <c r="G745" t="s">
        <v>11</v>
      </c>
      <c r="H745" t="str">
        <f t="shared" si="75"/>
        <v>M1</v>
      </c>
      <c r="I745" t="str">
        <f>IF(AND(Sheet1[[#This Row],[Attendance ]]&gt;65,Sheet1[[#This Row],[Attendance ]]&lt;75),"Yes","No")</f>
        <v>No</v>
      </c>
      <c r="J745" t="str">
        <f>IF(Sheet1[[#This Row],[Attendance ]]&lt;65,"Yes","No")</f>
        <v>No</v>
      </c>
    </row>
    <row r="746" spans="1:12" hidden="1" x14ac:dyDescent="0.35">
      <c r="A746" t="s">
        <v>787</v>
      </c>
      <c r="B746" t="s">
        <v>43</v>
      </c>
      <c r="C746" t="s">
        <v>4</v>
      </c>
      <c r="D746">
        <v>81.05</v>
      </c>
      <c r="E746" t="s">
        <v>5</v>
      </c>
      <c r="F746">
        <v>8.36</v>
      </c>
      <c r="G746" t="s">
        <v>26</v>
      </c>
      <c r="H746" t="str">
        <f t="shared" si="75"/>
        <v>Passed</v>
      </c>
      <c r="I746" t="str">
        <f>IF(AND(Sheet1[[#This Row],[Attendance ]]&gt;65,Sheet1[[#This Row],[Attendance ]]&lt;75),"Yes","No")</f>
        <v>No</v>
      </c>
      <c r="J746" t="str">
        <f>IF(Sheet1[[#This Row],[Attendance ]]&lt;65,"Yes","No")</f>
        <v>No</v>
      </c>
    </row>
    <row r="747" spans="1:12" hidden="1" x14ac:dyDescent="0.35">
      <c r="A747" t="s">
        <v>788</v>
      </c>
      <c r="B747" t="s">
        <v>30</v>
      </c>
      <c r="C747" t="s">
        <v>9</v>
      </c>
      <c r="D747">
        <v>95.34</v>
      </c>
      <c r="E747" t="s">
        <v>5</v>
      </c>
      <c r="F747">
        <v>6.98</v>
      </c>
      <c r="G747" t="s">
        <v>11</v>
      </c>
      <c r="H747" t="str">
        <f t="shared" si="75"/>
        <v>Passed</v>
      </c>
      <c r="I747" t="str">
        <f>IF(AND(Sheet1[[#This Row],[Attendance ]]&gt;65,Sheet1[[#This Row],[Attendance ]]&lt;75),"Yes","No")</f>
        <v>No</v>
      </c>
      <c r="J747" t="str">
        <f>IF(Sheet1[[#This Row],[Attendance ]]&lt;65,"Yes","No")</f>
        <v>No</v>
      </c>
    </row>
    <row r="748" spans="1:12" hidden="1" x14ac:dyDescent="0.35">
      <c r="A748" t="s">
        <v>789</v>
      </c>
      <c r="B748" t="s">
        <v>34</v>
      </c>
      <c r="C748" t="s">
        <v>4</v>
      </c>
      <c r="D748">
        <v>90.26</v>
      </c>
      <c r="E748" t="s">
        <v>10</v>
      </c>
      <c r="F748">
        <v>9.06</v>
      </c>
      <c r="G748" t="s">
        <v>26</v>
      </c>
      <c r="H748" t="str">
        <f t="shared" si="75"/>
        <v>Deep Learning</v>
      </c>
      <c r="I748" t="str">
        <f>IF(AND(Sheet1[[#This Row],[Attendance ]]&gt;65,Sheet1[[#This Row],[Attendance ]]&lt;75),"Yes","No")</f>
        <v>No</v>
      </c>
      <c r="J748" t="str">
        <f>IF(Sheet1[[#This Row],[Attendance ]]&lt;65,"Yes","No")</f>
        <v>No</v>
      </c>
    </row>
    <row r="749" spans="1:12" hidden="1" x14ac:dyDescent="0.35">
      <c r="A749" t="s">
        <v>790</v>
      </c>
      <c r="B749" t="s">
        <v>30</v>
      </c>
      <c r="C749" t="s">
        <v>13</v>
      </c>
      <c r="D749">
        <v>76.84</v>
      </c>
      <c r="E749" t="s">
        <v>5</v>
      </c>
      <c r="F749">
        <v>5.47</v>
      </c>
      <c r="G749" t="s">
        <v>28</v>
      </c>
      <c r="H749" t="str">
        <f t="shared" si="75"/>
        <v>Passed</v>
      </c>
      <c r="I749" t="str">
        <f>IF(AND(Sheet1[[#This Row],[Attendance ]]&gt;65,Sheet1[[#This Row],[Attendance ]]&lt;75),"Yes","No")</f>
        <v>No</v>
      </c>
      <c r="J749" t="str">
        <f>IF(Sheet1[[#This Row],[Attendance ]]&lt;65,"Yes","No")</f>
        <v>No</v>
      </c>
    </row>
    <row r="750" spans="1:12" hidden="1" x14ac:dyDescent="0.35">
      <c r="A750" t="s">
        <v>791</v>
      </c>
      <c r="B750" t="s">
        <v>30</v>
      </c>
      <c r="C750" t="s">
        <v>20</v>
      </c>
      <c r="D750">
        <v>97.14</v>
      </c>
      <c r="E750" t="s">
        <v>5</v>
      </c>
      <c r="F750">
        <v>6.23</v>
      </c>
      <c r="G750" t="s">
        <v>28</v>
      </c>
      <c r="H750" t="str">
        <f t="shared" si="75"/>
        <v>Passed</v>
      </c>
      <c r="I750" t="str">
        <f>IF(AND(Sheet1[[#This Row],[Attendance ]]&gt;65,Sheet1[[#This Row],[Attendance ]]&lt;75),"Yes","No")</f>
        <v>No</v>
      </c>
      <c r="J750" t="str">
        <f>IF(Sheet1[[#This Row],[Attendance ]]&lt;65,"Yes","No")</f>
        <v>No</v>
      </c>
    </row>
    <row r="751" spans="1:12" hidden="1" x14ac:dyDescent="0.35">
      <c r="A751" t="s">
        <v>792</v>
      </c>
      <c r="B751" t="s">
        <v>164</v>
      </c>
      <c r="C751" t="s">
        <v>4</v>
      </c>
      <c r="D751">
        <v>89.6</v>
      </c>
      <c r="E751" t="s">
        <v>5</v>
      </c>
      <c r="F751">
        <v>9.14</v>
      </c>
      <c r="G751" t="s">
        <v>6</v>
      </c>
      <c r="H751" t="str">
        <f t="shared" si="75"/>
        <v>Passed</v>
      </c>
      <c r="I751" t="str">
        <f>IF(AND(Sheet1[[#This Row],[Attendance ]]&gt;65,Sheet1[[#This Row],[Attendance ]]&lt;75),"Yes","No")</f>
        <v>No</v>
      </c>
      <c r="J751" t="str">
        <f>IF(Sheet1[[#This Row],[Attendance ]]&lt;65,"Yes","No")</f>
        <v>No</v>
      </c>
    </row>
    <row r="752" spans="1:12" x14ac:dyDescent="0.35">
      <c r="A752" t="s">
        <v>793</v>
      </c>
      <c r="B752" t="s">
        <v>110</v>
      </c>
      <c r="C752" t="s">
        <v>9</v>
      </c>
      <c r="D752">
        <v>67.400000000000006</v>
      </c>
      <c r="E752" t="s">
        <v>5</v>
      </c>
      <c r="F752">
        <v>9.5500000000000007</v>
      </c>
      <c r="G752" t="s">
        <v>28</v>
      </c>
      <c r="H752" t="str">
        <f t="shared" si="75"/>
        <v>Passed</v>
      </c>
      <c r="I752" t="str">
        <f>IF(AND(Sheet1[[#This Row],[Attendance ]]&gt;65,Sheet1[[#This Row],[Attendance ]]&lt;75),"Yes","No")</f>
        <v>Yes</v>
      </c>
      <c r="J752" t="str">
        <f>IF(Sheet1[[#This Row],[Attendance ]]&lt;65,"Yes","No")</f>
        <v>No</v>
      </c>
      <c r="K752" t="str">
        <f>CHOOSE(MOD(ROW()-2,8)+1,
"Kadapa",
"Ananthapur",
"Rayachoti",
"Nellore",
"Chittoor",
"Madanapalli",
"Rajampeta",
"Tirupati")</f>
        <v>Rajampeta</v>
      </c>
      <c r="L752" t="str">
        <f>IF(AND(G750="4th Year",E750="Pass",F750&gt;=7),"Yes","No")</f>
        <v>No</v>
      </c>
    </row>
    <row r="753" spans="1:12" hidden="1" x14ac:dyDescent="0.35">
      <c r="A753" t="s">
        <v>794</v>
      </c>
      <c r="B753" t="s">
        <v>17</v>
      </c>
      <c r="C753" t="s">
        <v>20</v>
      </c>
      <c r="D753">
        <v>64.59</v>
      </c>
      <c r="E753" t="s">
        <v>5</v>
      </c>
      <c r="F753">
        <v>5.82</v>
      </c>
      <c r="G753" t="s">
        <v>28</v>
      </c>
      <c r="H753" t="str">
        <f t="shared" si="75"/>
        <v>Passed</v>
      </c>
      <c r="I753" t="str">
        <f>IF(AND(Sheet1[[#This Row],[Attendance ]]&gt;65,Sheet1[[#This Row],[Attendance ]]&lt;75),"Yes","No")</f>
        <v>No</v>
      </c>
      <c r="J753" t="str">
        <f>IF(Sheet1[[#This Row],[Attendance ]]&lt;65,"Yes","No")</f>
        <v>Yes</v>
      </c>
    </row>
    <row r="754" spans="1:12" x14ac:dyDescent="0.35">
      <c r="A754" t="s">
        <v>795</v>
      </c>
      <c r="B754" t="s">
        <v>77</v>
      </c>
      <c r="C754" t="s">
        <v>35</v>
      </c>
      <c r="D754">
        <v>74.22</v>
      </c>
      <c r="E754" t="s">
        <v>5</v>
      </c>
      <c r="F754">
        <v>6.92</v>
      </c>
      <c r="G754" t="s">
        <v>11</v>
      </c>
      <c r="H754" t="str">
        <f t="shared" si="75"/>
        <v>Passed</v>
      </c>
      <c r="I754" t="str">
        <f>IF(AND(Sheet1[[#This Row],[Attendance ]]&gt;65,Sheet1[[#This Row],[Attendance ]]&lt;75),"Yes","No")</f>
        <v>Yes</v>
      </c>
      <c r="J754" t="str">
        <f>IF(Sheet1[[#This Row],[Attendance ]]&lt;65,"Yes","No")</f>
        <v>No</v>
      </c>
      <c r="K754" t="str">
        <f>CHOOSE(MOD(ROW()-2,8)+1,
"Kadapa",
"Ananthapur",
"Rayachoti",
"Nellore",
"Chittoor",
"Madanapalli",
"Rajampeta",
"Tirupati")</f>
        <v>Kadapa</v>
      </c>
      <c r="L754" t="str">
        <f>IF(AND(G752="4th Year",E752="Pass",F752&gt;=7),"Yes","No")</f>
        <v>No</v>
      </c>
    </row>
    <row r="755" spans="1:12" hidden="1" x14ac:dyDescent="0.35">
      <c r="A755" t="s">
        <v>796</v>
      </c>
      <c r="B755" t="s">
        <v>12</v>
      </c>
      <c r="C755" t="s">
        <v>35</v>
      </c>
      <c r="D755">
        <v>98.24</v>
      </c>
      <c r="E755" t="s">
        <v>5</v>
      </c>
      <c r="F755">
        <v>6.51</v>
      </c>
      <c r="G755" t="s">
        <v>26</v>
      </c>
      <c r="H755" t="str">
        <f t="shared" si="75"/>
        <v>Passed</v>
      </c>
      <c r="I755" t="str">
        <f>IF(AND(Sheet1[[#This Row],[Attendance ]]&gt;65,Sheet1[[#This Row],[Attendance ]]&lt;75),"Yes","No")</f>
        <v>No</v>
      </c>
      <c r="J755" t="str">
        <f>IF(Sheet1[[#This Row],[Attendance ]]&lt;65,"Yes","No")</f>
        <v>No</v>
      </c>
    </row>
    <row r="756" spans="1:12" hidden="1" x14ac:dyDescent="0.35">
      <c r="A756" t="s">
        <v>797</v>
      </c>
      <c r="B756" t="s">
        <v>30</v>
      </c>
      <c r="C756" t="s">
        <v>23</v>
      </c>
      <c r="D756">
        <v>85.53</v>
      </c>
      <c r="E756" t="s">
        <v>5</v>
      </c>
      <c r="F756">
        <v>8.2100000000000009</v>
      </c>
      <c r="G756" t="s">
        <v>26</v>
      </c>
      <c r="H756" t="str">
        <f t="shared" si="75"/>
        <v>Passed</v>
      </c>
      <c r="I756" t="str">
        <f>IF(AND(Sheet1[[#This Row],[Attendance ]]&gt;65,Sheet1[[#This Row],[Attendance ]]&lt;75),"Yes","No")</f>
        <v>No</v>
      </c>
      <c r="J756" t="str">
        <f>IF(Sheet1[[#This Row],[Attendance ]]&lt;65,"Yes","No")</f>
        <v>No</v>
      </c>
    </row>
    <row r="757" spans="1:12" hidden="1" x14ac:dyDescent="0.35">
      <c r="A757" t="s">
        <v>798</v>
      </c>
      <c r="B757" t="s">
        <v>39</v>
      </c>
      <c r="C757" t="s">
        <v>4</v>
      </c>
      <c r="D757">
        <v>96.85</v>
      </c>
      <c r="E757" t="s">
        <v>5</v>
      </c>
      <c r="F757">
        <v>6.52</v>
      </c>
      <c r="G757" t="s">
        <v>6</v>
      </c>
      <c r="H757" t="str">
        <f t="shared" si="75"/>
        <v>Passed</v>
      </c>
      <c r="I757" t="str">
        <f>IF(AND(Sheet1[[#This Row],[Attendance ]]&gt;65,Sheet1[[#This Row],[Attendance ]]&lt;75),"Yes","No")</f>
        <v>No</v>
      </c>
      <c r="J757" t="str">
        <f>IF(Sheet1[[#This Row],[Attendance ]]&lt;65,"Yes","No")</f>
        <v>No</v>
      </c>
    </row>
    <row r="758" spans="1:12" hidden="1" x14ac:dyDescent="0.35">
      <c r="A758" t="s">
        <v>799</v>
      </c>
      <c r="B758" t="s">
        <v>15</v>
      </c>
      <c r="C758" t="s">
        <v>20</v>
      </c>
      <c r="D758">
        <v>64.42</v>
      </c>
      <c r="E758" t="s">
        <v>10</v>
      </c>
      <c r="F758">
        <v>7.56</v>
      </c>
      <c r="G758" t="s">
        <v>26</v>
      </c>
      <c r="H758" t="str">
        <f t="shared" si="75"/>
        <v>Deep Learning</v>
      </c>
      <c r="I758" t="str">
        <f>IF(AND(Sheet1[[#This Row],[Attendance ]]&gt;65,Sheet1[[#This Row],[Attendance ]]&lt;75),"Yes","No")</f>
        <v>No</v>
      </c>
      <c r="J758" t="str">
        <f>IF(Sheet1[[#This Row],[Attendance ]]&lt;65,"Yes","No")</f>
        <v>Yes</v>
      </c>
    </row>
    <row r="759" spans="1:12" hidden="1" x14ac:dyDescent="0.35">
      <c r="A759" t="s">
        <v>800</v>
      </c>
      <c r="B759" t="s">
        <v>12</v>
      </c>
      <c r="C759" t="s">
        <v>4</v>
      </c>
      <c r="D759">
        <v>91.68</v>
      </c>
      <c r="E759" t="s">
        <v>5</v>
      </c>
      <c r="F759">
        <v>7.06</v>
      </c>
      <c r="G759" t="s">
        <v>6</v>
      </c>
      <c r="H759" t="str">
        <f t="shared" si="75"/>
        <v>Passed</v>
      </c>
      <c r="I759" t="str">
        <f>IF(AND(Sheet1[[#This Row],[Attendance ]]&gt;65,Sheet1[[#This Row],[Attendance ]]&lt;75),"Yes","No")</f>
        <v>No</v>
      </c>
      <c r="J759" t="str">
        <f>IF(Sheet1[[#This Row],[Attendance ]]&lt;65,"Yes","No")</f>
        <v>No</v>
      </c>
    </row>
    <row r="760" spans="1:12" hidden="1" x14ac:dyDescent="0.35">
      <c r="A760" t="s">
        <v>801</v>
      </c>
      <c r="B760" t="s">
        <v>61</v>
      </c>
      <c r="C760" t="s">
        <v>4</v>
      </c>
      <c r="D760">
        <v>95.31</v>
      </c>
      <c r="E760" t="s">
        <v>5</v>
      </c>
      <c r="F760">
        <v>9.25</v>
      </c>
      <c r="G760" t="s">
        <v>11</v>
      </c>
      <c r="H760" t="str">
        <f t="shared" si="75"/>
        <v>Passed</v>
      </c>
      <c r="I760" t="str">
        <f>IF(AND(Sheet1[[#This Row],[Attendance ]]&gt;65,Sheet1[[#This Row],[Attendance ]]&lt;75),"Yes","No")</f>
        <v>No</v>
      </c>
      <c r="J760" t="str">
        <f>IF(Sheet1[[#This Row],[Attendance ]]&lt;65,"Yes","No")</f>
        <v>No</v>
      </c>
    </row>
    <row r="761" spans="1:12" hidden="1" x14ac:dyDescent="0.35">
      <c r="A761" t="s">
        <v>802</v>
      </c>
      <c r="B761" t="s">
        <v>63</v>
      </c>
      <c r="C761" t="s">
        <v>9</v>
      </c>
      <c r="D761">
        <v>63.97</v>
      </c>
      <c r="E761" t="s">
        <v>10</v>
      </c>
      <c r="F761">
        <v>5.52</v>
      </c>
      <c r="G761" t="s">
        <v>28</v>
      </c>
      <c r="H761" t="str">
        <f t="shared" si="75"/>
        <v>Machine Learning</v>
      </c>
      <c r="I761" t="str">
        <f>IF(AND(Sheet1[[#This Row],[Attendance ]]&gt;65,Sheet1[[#This Row],[Attendance ]]&lt;75),"Yes","No")</f>
        <v>No</v>
      </c>
      <c r="J761" t="str">
        <f>IF(Sheet1[[#This Row],[Attendance ]]&lt;65,"Yes","No")</f>
        <v>Yes</v>
      </c>
    </row>
    <row r="762" spans="1:12" hidden="1" x14ac:dyDescent="0.35">
      <c r="A762" t="s">
        <v>803</v>
      </c>
      <c r="B762" t="s">
        <v>45</v>
      </c>
      <c r="C762" t="s">
        <v>13</v>
      </c>
      <c r="D762">
        <v>77.48</v>
      </c>
      <c r="E762" t="s">
        <v>5</v>
      </c>
      <c r="F762">
        <v>7.39</v>
      </c>
      <c r="G762" t="s">
        <v>11</v>
      </c>
      <c r="H762" t="str">
        <f t="shared" si="75"/>
        <v>Passed</v>
      </c>
      <c r="I762" t="str">
        <f>IF(AND(Sheet1[[#This Row],[Attendance ]]&gt;65,Sheet1[[#This Row],[Attendance ]]&lt;75),"Yes","No")</f>
        <v>No</v>
      </c>
      <c r="J762" t="str">
        <f>IF(Sheet1[[#This Row],[Attendance ]]&lt;65,"Yes","No")</f>
        <v>No</v>
      </c>
    </row>
    <row r="763" spans="1:12" hidden="1" x14ac:dyDescent="0.35">
      <c r="A763" t="s">
        <v>804</v>
      </c>
      <c r="B763" t="s">
        <v>98</v>
      </c>
      <c r="C763" t="s">
        <v>9</v>
      </c>
      <c r="D763">
        <v>78.41</v>
      </c>
      <c r="E763" t="s">
        <v>5</v>
      </c>
      <c r="F763">
        <v>9.01</v>
      </c>
      <c r="G763" t="s">
        <v>11</v>
      </c>
      <c r="H763" t="str">
        <f t="shared" si="75"/>
        <v>Passed</v>
      </c>
      <c r="I763" t="str">
        <f>IF(AND(Sheet1[[#This Row],[Attendance ]]&gt;65,Sheet1[[#This Row],[Attendance ]]&lt;75),"Yes","No")</f>
        <v>No</v>
      </c>
      <c r="J763" t="str">
        <f>IF(Sheet1[[#This Row],[Attendance ]]&lt;65,"Yes","No")</f>
        <v>No</v>
      </c>
    </row>
    <row r="764" spans="1:12" hidden="1" x14ac:dyDescent="0.35">
      <c r="A764" t="s">
        <v>805</v>
      </c>
      <c r="B764" t="s">
        <v>103</v>
      </c>
      <c r="C764" t="s">
        <v>9</v>
      </c>
      <c r="D764">
        <v>83.18</v>
      </c>
      <c r="E764" t="s">
        <v>5</v>
      </c>
      <c r="F764">
        <v>5.09</v>
      </c>
      <c r="G764" t="s">
        <v>26</v>
      </c>
      <c r="H764" t="str">
        <f t="shared" si="75"/>
        <v>Passed</v>
      </c>
      <c r="I764" t="str">
        <f>IF(AND(Sheet1[[#This Row],[Attendance ]]&gt;65,Sheet1[[#This Row],[Attendance ]]&lt;75),"Yes","No")</f>
        <v>No</v>
      </c>
      <c r="J764" t="str">
        <f>IF(Sheet1[[#This Row],[Attendance ]]&lt;65,"Yes","No")</f>
        <v>No</v>
      </c>
    </row>
    <row r="765" spans="1:12" x14ac:dyDescent="0.35">
      <c r="A765" t="s">
        <v>806</v>
      </c>
      <c r="B765" t="s">
        <v>51</v>
      </c>
      <c r="C765" t="s">
        <v>23</v>
      </c>
      <c r="D765">
        <v>68.09</v>
      </c>
      <c r="E765" t="s">
        <v>10</v>
      </c>
      <c r="F765">
        <v>6.65</v>
      </c>
      <c r="G765" t="s">
        <v>26</v>
      </c>
      <c r="H765" t="str">
        <f t="shared" si="75"/>
        <v>Deep Learning</v>
      </c>
      <c r="I765" t="str">
        <f>IF(AND(Sheet1[[#This Row],[Attendance ]]&gt;65,Sheet1[[#This Row],[Attendance ]]&lt;75),"Yes","No")</f>
        <v>Yes</v>
      </c>
      <c r="J765" t="str">
        <f>IF(Sheet1[[#This Row],[Attendance ]]&lt;65,"Yes","No")</f>
        <v>No</v>
      </c>
      <c r="K765" t="str">
        <f>CHOOSE(MOD(ROW()-2,8)+1,
"Kadapa",
"Ananthapur",
"Rayachoti",
"Nellore",
"Chittoor",
"Madanapalli",
"Rajampeta",
"Tirupati")</f>
        <v>Nellore</v>
      </c>
      <c r="L765" t="str">
        <f>IF(AND(G763="4th Year",E763="Pass",F763&gt;=7),"Yes","No")</f>
        <v>No</v>
      </c>
    </row>
    <row r="766" spans="1:12" hidden="1" x14ac:dyDescent="0.35">
      <c r="A766" t="s">
        <v>807</v>
      </c>
      <c r="B766" t="s">
        <v>15</v>
      </c>
      <c r="C766" t="s">
        <v>9</v>
      </c>
      <c r="D766">
        <v>79.02</v>
      </c>
      <c r="E766" t="s">
        <v>10</v>
      </c>
      <c r="F766">
        <v>9.4600000000000009</v>
      </c>
      <c r="G766" t="s">
        <v>6</v>
      </c>
      <c r="H766" t="str">
        <f t="shared" si="75"/>
        <v>DBMS</v>
      </c>
      <c r="I766" t="str">
        <f>IF(AND(Sheet1[[#This Row],[Attendance ]]&gt;65,Sheet1[[#This Row],[Attendance ]]&lt;75),"Yes","No")</f>
        <v>No</v>
      </c>
      <c r="J766" t="str">
        <f>IF(Sheet1[[#This Row],[Attendance ]]&lt;65,"Yes","No")</f>
        <v>No</v>
      </c>
    </row>
    <row r="767" spans="1:12" hidden="1" x14ac:dyDescent="0.35">
      <c r="A767" t="s">
        <v>808</v>
      </c>
      <c r="B767" t="s">
        <v>72</v>
      </c>
      <c r="C767" t="s">
        <v>35</v>
      </c>
      <c r="D767">
        <v>95.78</v>
      </c>
      <c r="E767" t="s">
        <v>5</v>
      </c>
      <c r="F767">
        <v>7.58</v>
      </c>
      <c r="G767" t="s">
        <v>28</v>
      </c>
      <c r="H767" t="str">
        <f t="shared" si="75"/>
        <v>Passed</v>
      </c>
      <c r="I767" t="str">
        <f>IF(AND(Sheet1[[#This Row],[Attendance ]]&gt;65,Sheet1[[#This Row],[Attendance ]]&lt;75),"Yes","No")</f>
        <v>No</v>
      </c>
      <c r="J767" t="str">
        <f>IF(Sheet1[[#This Row],[Attendance ]]&lt;65,"Yes","No")</f>
        <v>No</v>
      </c>
    </row>
    <row r="768" spans="1:12" hidden="1" x14ac:dyDescent="0.35">
      <c r="A768" t="s">
        <v>809</v>
      </c>
      <c r="B768" t="s">
        <v>77</v>
      </c>
      <c r="C768" t="s">
        <v>13</v>
      </c>
      <c r="D768">
        <v>79.45</v>
      </c>
      <c r="E768" t="s">
        <v>5</v>
      </c>
      <c r="F768">
        <v>5.65</v>
      </c>
      <c r="G768" t="s">
        <v>26</v>
      </c>
      <c r="H768" t="str">
        <f t="shared" si="75"/>
        <v>Passed</v>
      </c>
      <c r="I768" t="str">
        <f>IF(AND(Sheet1[[#This Row],[Attendance ]]&gt;65,Sheet1[[#This Row],[Attendance ]]&lt;75),"Yes","No")</f>
        <v>No</v>
      </c>
      <c r="J768" t="str">
        <f>IF(Sheet1[[#This Row],[Attendance ]]&lt;65,"Yes","No")</f>
        <v>No</v>
      </c>
    </row>
    <row r="769" spans="1:12" x14ac:dyDescent="0.35">
      <c r="A769" t="s">
        <v>810</v>
      </c>
      <c r="B769" t="s">
        <v>30</v>
      </c>
      <c r="C769" t="s">
        <v>23</v>
      </c>
      <c r="D769">
        <v>65.23</v>
      </c>
      <c r="E769" t="s">
        <v>5</v>
      </c>
      <c r="F769">
        <v>5.6</v>
      </c>
      <c r="G769" t="s">
        <v>6</v>
      </c>
      <c r="H769" t="str">
        <f t="shared" si="75"/>
        <v>Passed</v>
      </c>
      <c r="I769" t="str">
        <f>IF(AND(Sheet1[[#This Row],[Attendance ]]&gt;65,Sheet1[[#This Row],[Attendance ]]&lt;75),"Yes","No")</f>
        <v>Yes</v>
      </c>
      <c r="J769" t="str">
        <f>IF(Sheet1[[#This Row],[Attendance ]]&lt;65,"Yes","No")</f>
        <v>No</v>
      </c>
      <c r="K769" t="str">
        <f>CHOOSE(MOD(ROW()-2,8)+1,
"Kadapa",
"Ananthapur",
"Rayachoti",
"Nellore",
"Chittoor",
"Madanapalli",
"Rajampeta",
"Tirupati")</f>
        <v>Tirupati</v>
      </c>
      <c r="L769" t="str">
        <f>IF(AND(G767="4th Year",E767="Pass",F767&gt;=7),"Yes","No")</f>
        <v>No</v>
      </c>
    </row>
    <row r="770" spans="1:12" hidden="1" x14ac:dyDescent="0.35">
      <c r="A770" t="s">
        <v>811</v>
      </c>
      <c r="B770" t="s">
        <v>63</v>
      </c>
      <c r="C770" t="s">
        <v>9</v>
      </c>
      <c r="D770">
        <v>62.91</v>
      </c>
      <c r="E770" t="s">
        <v>5</v>
      </c>
      <c r="F770">
        <v>8.8699999999999992</v>
      </c>
      <c r="G770" t="s">
        <v>28</v>
      </c>
      <c r="H770" t="str">
        <f t="shared" ref="H770:H833" si="78">IF(E770="Pass","Passed",
IF(G770="1st Year","M1",
IF(G770="2nd Year","DBMS",
IF(G770="3rd Year","Machine Learning",
IF(G770="4th Year","Deep Learning","")))))</f>
        <v>Passed</v>
      </c>
      <c r="I770" t="str">
        <f>IF(AND(Sheet1[[#This Row],[Attendance ]]&gt;65,Sheet1[[#This Row],[Attendance ]]&lt;75),"Yes","No")</f>
        <v>No</v>
      </c>
      <c r="J770" t="str">
        <f>IF(Sheet1[[#This Row],[Attendance ]]&lt;65,"Yes","No")</f>
        <v>Yes</v>
      </c>
    </row>
    <row r="771" spans="1:12" hidden="1" x14ac:dyDescent="0.35">
      <c r="A771" t="s">
        <v>812</v>
      </c>
      <c r="B771" t="s">
        <v>164</v>
      </c>
      <c r="C771" t="s">
        <v>9</v>
      </c>
      <c r="D771">
        <v>62.1</v>
      </c>
      <c r="E771" t="s">
        <v>5</v>
      </c>
      <c r="F771">
        <v>7.84</v>
      </c>
      <c r="G771" t="s">
        <v>28</v>
      </c>
      <c r="H771" t="str">
        <f t="shared" si="78"/>
        <v>Passed</v>
      </c>
      <c r="I771" t="str">
        <f>IF(AND(Sheet1[[#This Row],[Attendance ]]&gt;65,Sheet1[[#This Row],[Attendance ]]&lt;75),"Yes","No")</f>
        <v>No</v>
      </c>
      <c r="J771" t="str">
        <f>IF(Sheet1[[#This Row],[Attendance ]]&lt;65,"Yes","No")</f>
        <v>Yes</v>
      </c>
    </row>
    <row r="772" spans="1:12" x14ac:dyDescent="0.35">
      <c r="A772" t="s">
        <v>813</v>
      </c>
      <c r="B772" t="s">
        <v>61</v>
      </c>
      <c r="C772" t="s">
        <v>23</v>
      </c>
      <c r="D772">
        <v>67.55</v>
      </c>
      <c r="E772" t="s">
        <v>5</v>
      </c>
      <c r="F772">
        <v>6.27</v>
      </c>
      <c r="G772" t="s">
        <v>11</v>
      </c>
      <c r="H772" t="str">
        <f t="shared" si="78"/>
        <v>Passed</v>
      </c>
      <c r="I772" t="str">
        <f>IF(AND(Sheet1[[#This Row],[Attendance ]]&gt;65,Sheet1[[#This Row],[Attendance ]]&lt;75),"Yes","No")</f>
        <v>Yes</v>
      </c>
      <c r="J772" t="str">
        <f>IF(Sheet1[[#This Row],[Attendance ]]&lt;65,"Yes","No")</f>
        <v>No</v>
      </c>
      <c r="K772" t="str">
        <f>CHOOSE(MOD(ROW()-2,8)+1,
"Kadapa",
"Ananthapur",
"Rayachoti",
"Nellore",
"Chittoor",
"Madanapalli",
"Rajampeta",
"Tirupati")</f>
        <v>Rayachoti</v>
      </c>
      <c r="L772" t="str">
        <f>IF(AND(G770="4th Year",E770="Pass",F770&gt;=7),"Yes","No")</f>
        <v>No</v>
      </c>
    </row>
    <row r="773" spans="1:12" hidden="1" x14ac:dyDescent="0.35">
      <c r="A773" t="s">
        <v>814</v>
      </c>
      <c r="B773" t="s">
        <v>149</v>
      </c>
      <c r="C773" t="s">
        <v>23</v>
      </c>
      <c r="D773">
        <v>78.150000000000006</v>
      </c>
      <c r="E773" t="s">
        <v>5</v>
      </c>
      <c r="F773">
        <v>5.74</v>
      </c>
      <c r="G773" t="s">
        <v>28</v>
      </c>
      <c r="H773" t="str">
        <f t="shared" si="78"/>
        <v>Passed</v>
      </c>
      <c r="I773" t="str">
        <f>IF(AND(Sheet1[[#This Row],[Attendance ]]&gt;65,Sheet1[[#This Row],[Attendance ]]&lt;75),"Yes","No")</f>
        <v>No</v>
      </c>
      <c r="J773" t="str">
        <f>IF(Sheet1[[#This Row],[Attendance ]]&lt;65,"Yes","No")</f>
        <v>No</v>
      </c>
    </row>
    <row r="774" spans="1:12" hidden="1" x14ac:dyDescent="0.35">
      <c r="A774" t="s">
        <v>815</v>
      </c>
      <c r="B774" t="s">
        <v>61</v>
      </c>
      <c r="C774" t="s">
        <v>4</v>
      </c>
      <c r="D774">
        <v>98.74</v>
      </c>
      <c r="E774" t="s">
        <v>5</v>
      </c>
      <c r="F774">
        <v>5.0999999999999996</v>
      </c>
      <c r="G774" t="s">
        <v>6</v>
      </c>
      <c r="H774" t="str">
        <f t="shared" si="78"/>
        <v>Passed</v>
      </c>
      <c r="I774" t="str">
        <f>IF(AND(Sheet1[[#This Row],[Attendance ]]&gt;65,Sheet1[[#This Row],[Attendance ]]&lt;75),"Yes","No")</f>
        <v>No</v>
      </c>
      <c r="J774" t="str">
        <f>IF(Sheet1[[#This Row],[Attendance ]]&lt;65,"Yes","No")</f>
        <v>No</v>
      </c>
    </row>
    <row r="775" spans="1:12" hidden="1" x14ac:dyDescent="0.35">
      <c r="A775" t="s">
        <v>816</v>
      </c>
      <c r="B775" t="s">
        <v>61</v>
      </c>
      <c r="C775" t="s">
        <v>9</v>
      </c>
      <c r="D775">
        <v>78.22</v>
      </c>
      <c r="E775" t="s">
        <v>5</v>
      </c>
      <c r="F775">
        <v>9.2100000000000009</v>
      </c>
      <c r="G775" t="s">
        <v>6</v>
      </c>
      <c r="H775" t="str">
        <f t="shared" si="78"/>
        <v>Passed</v>
      </c>
      <c r="I775" t="str">
        <f>IF(AND(Sheet1[[#This Row],[Attendance ]]&gt;65,Sheet1[[#This Row],[Attendance ]]&lt;75),"Yes","No")</f>
        <v>No</v>
      </c>
      <c r="J775" t="str">
        <f>IF(Sheet1[[#This Row],[Attendance ]]&lt;65,"Yes","No")</f>
        <v>No</v>
      </c>
    </row>
    <row r="776" spans="1:12" hidden="1" x14ac:dyDescent="0.35">
      <c r="A776" t="s">
        <v>817</v>
      </c>
      <c r="B776" t="s">
        <v>12</v>
      </c>
      <c r="C776" t="s">
        <v>13</v>
      </c>
      <c r="D776">
        <v>80.959999999999994</v>
      </c>
      <c r="E776" t="s">
        <v>5</v>
      </c>
      <c r="F776">
        <v>8.6300000000000008</v>
      </c>
      <c r="G776" t="s">
        <v>26</v>
      </c>
      <c r="H776" t="str">
        <f t="shared" si="78"/>
        <v>Passed</v>
      </c>
      <c r="I776" t="str">
        <f>IF(AND(Sheet1[[#This Row],[Attendance ]]&gt;65,Sheet1[[#This Row],[Attendance ]]&lt;75),"Yes","No")</f>
        <v>No</v>
      </c>
      <c r="J776" t="str">
        <f>IF(Sheet1[[#This Row],[Attendance ]]&lt;65,"Yes","No")</f>
        <v>No</v>
      </c>
    </row>
    <row r="777" spans="1:12" hidden="1" x14ac:dyDescent="0.35">
      <c r="A777" t="s">
        <v>818</v>
      </c>
      <c r="B777" t="s">
        <v>107</v>
      </c>
      <c r="C777" t="s">
        <v>20</v>
      </c>
      <c r="D777">
        <v>88.54</v>
      </c>
      <c r="E777" t="s">
        <v>5</v>
      </c>
      <c r="F777">
        <v>8.52</v>
      </c>
      <c r="G777" t="s">
        <v>26</v>
      </c>
      <c r="H777" t="str">
        <f t="shared" si="78"/>
        <v>Passed</v>
      </c>
      <c r="I777" t="str">
        <f>IF(AND(Sheet1[[#This Row],[Attendance ]]&gt;65,Sheet1[[#This Row],[Attendance ]]&lt;75),"Yes","No")</f>
        <v>No</v>
      </c>
      <c r="J777" t="str">
        <f>IF(Sheet1[[#This Row],[Attendance ]]&lt;65,"Yes","No")</f>
        <v>No</v>
      </c>
    </row>
    <row r="778" spans="1:12" hidden="1" x14ac:dyDescent="0.35">
      <c r="A778" t="s">
        <v>819</v>
      </c>
      <c r="B778" t="s">
        <v>37</v>
      </c>
      <c r="C778" t="s">
        <v>9</v>
      </c>
      <c r="D778">
        <v>64.430000000000007</v>
      </c>
      <c r="E778" t="s">
        <v>5</v>
      </c>
      <c r="F778">
        <v>5.49</v>
      </c>
      <c r="G778" t="s">
        <v>6</v>
      </c>
      <c r="H778" t="str">
        <f t="shared" si="78"/>
        <v>Passed</v>
      </c>
      <c r="I778" t="str">
        <f>IF(AND(Sheet1[[#This Row],[Attendance ]]&gt;65,Sheet1[[#This Row],[Attendance ]]&lt;75),"Yes","No")</f>
        <v>No</v>
      </c>
      <c r="J778" t="str">
        <f>IF(Sheet1[[#This Row],[Attendance ]]&lt;65,"Yes","No")</f>
        <v>Yes</v>
      </c>
    </row>
    <row r="779" spans="1:12" hidden="1" x14ac:dyDescent="0.35">
      <c r="A779" t="s">
        <v>820</v>
      </c>
      <c r="B779" t="s">
        <v>107</v>
      </c>
      <c r="C779" t="s">
        <v>9</v>
      </c>
      <c r="D779">
        <v>97.07</v>
      </c>
      <c r="E779" t="s">
        <v>10</v>
      </c>
      <c r="F779">
        <v>8.24</v>
      </c>
      <c r="G779" t="s">
        <v>11</v>
      </c>
      <c r="H779" t="str">
        <f t="shared" si="78"/>
        <v>M1</v>
      </c>
      <c r="I779" t="str">
        <f>IF(AND(Sheet1[[#This Row],[Attendance ]]&gt;65,Sheet1[[#This Row],[Attendance ]]&lt;75),"Yes","No")</f>
        <v>No</v>
      </c>
      <c r="J779" t="str">
        <f>IF(Sheet1[[#This Row],[Attendance ]]&lt;65,"Yes","No")</f>
        <v>No</v>
      </c>
    </row>
    <row r="780" spans="1:12" hidden="1" x14ac:dyDescent="0.35">
      <c r="A780" t="s">
        <v>821</v>
      </c>
      <c r="B780" t="s">
        <v>110</v>
      </c>
      <c r="C780" t="s">
        <v>35</v>
      </c>
      <c r="D780">
        <v>77.44</v>
      </c>
      <c r="E780" t="s">
        <v>5</v>
      </c>
      <c r="F780">
        <v>7.4</v>
      </c>
      <c r="G780" t="s">
        <v>11</v>
      </c>
      <c r="H780" t="str">
        <f t="shared" si="78"/>
        <v>Passed</v>
      </c>
      <c r="I780" t="str">
        <f>IF(AND(Sheet1[[#This Row],[Attendance ]]&gt;65,Sheet1[[#This Row],[Attendance ]]&lt;75),"Yes","No")</f>
        <v>No</v>
      </c>
      <c r="J780" t="str">
        <f>IF(Sheet1[[#This Row],[Attendance ]]&lt;65,"Yes","No")</f>
        <v>No</v>
      </c>
    </row>
    <row r="781" spans="1:12" x14ac:dyDescent="0.35">
      <c r="A781" t="s">
        <v>822</v>
      </c>
      <c r="B781" t="s">
        <v>37</v>
      </c>
      <c r="C781" t="s">
        <v>13</v>
      </c>
      <c r="D781">
        <v>67.47</v>
      </c>
      <c r="E781" t="s">
        <v>5</v>
      </c>
      <c r="F781">
        <v>8.89</v>
      </c>
      <c r="G781" t="s">
        <v>6</v>
      </c>
      <c r="H781" t="str">
        <f t="shared" si="78"/>
        <v>Passed</v>
      </c>
      <c r="I781" t="str">
        <f>IF(AND(Sheet1[[#This Row],[Attendance ]]&gt;65,Sheet1[[#This Row],[Attendance ]]&lt;75),"Yes","No")</f>
        <v>Yes</v>
      </c>
      <c r="J781" t="str">
        <f>IF(Sheet1[[#This Row],[Attendance ]]&lt;65,"Yes","No")</f>
        <v>No</v>
      </c>
      <c r="K781" t="str">
        <f>CHOOSE(MOD(ROW()-2,8)+1,
"Kadapa",
"Ananthapur",
"Rayachoti",
"Nellore",
"Chittoor",
"Madanapalli",
"Rajampeta",
"Tirupati")</f>
        <v>Nellore</v>
      </c>
      <c r="L781" t="str">
        <f>IF(AND(G779="4th Year",E779="Pass",F779&gt;=7),"Yes","No")</f>
        <v>No</v>
      </c>
    </row>
    <row r="782" spans="1:12" hidden="1" x14ac:dyDescent="0.35">
      <c r="A782" t="s">
        <v>823</v>
      </c>
      <c r="B782" t="s">
        <v>30</v>
      </c>
      <c r="C782" t="s">
        <v>35</v>
      </c>
      <c r="D782">
        <v>63.69</v>
      </c>
      <c r="E782" t="s">
        <v>5</v>
      </c>
      <c r="F782">
        <v>9.25</v>
      </c>
      <c r="G782" t="s">
        <v>28</v>
      </c>
      <c r="H782" t="str">
        <f t="shared" si="78"/>
        <v>Passed</v>
      </c>
      <c r="I782" t="str">
        <f>IF(AND(Sheet1[[#This Row],[Attendance ]]&gt;65,Sheet1[[#This Row],[Attendance ]]&lt;75),"Yes","No")</f>
        <v>No</v>
      </c>
      <c r="J782" t="str">
        <f>IF(Sheet1[[#This Row],[Attendance ]]&lt;65,"Yes","No")</f>
        <v>Yes</v>
      </c>
    </row>
    <row r="783" spans="1:12" hidden="1" x14ac:dyDescent="0.35">
      <c r="A783" t="s">
        <v>824</v>
      </c>
      <c r="B783" t="s">
        <v>110</v>
      </c>
      <c r="C783" t="s">
        <v>4</v>
      </c>
      <c r="D783">
        <v>90.06</v>
      </c>
      <c r="E783" t="s">
        <v>5</v>
      </c>
      <c r="F783">
        <v>6.45</v>
      </c>
      <c r="G783" t="s">
        <v>6</v>
      </c>
      <c r="H783" t="str">
        <f t="shared" si="78"/>
        <v>Passed</v>
      </c>
      <c r="I783" t="str">
        <f>IF(AND(Sheet1[[#This Row],[Attendance ]]&gt;65,Sheet1[[#This Row],[Attendance ]]&lt;75),"Yes","No")</f>
        <v>No</v>
      </c>
      <c r="J783" t="str">
        <f>IF(Sheet1[[#This Row],[Attendance ]]&lt;65,"Yes","No")</f>
        <v>No</v>
      </c>
    </row>
    <row r="784" spans="1:12" x14ac:dyDescent="0.35">
      <c r="A784" t="s">
        <v>825</v>
      </c>
      <c r="B784" t="s">
        <v>3</v>
      </c>
      <c r="C784" t="s">
        <v>23</v>
      </c>
      <c r="D784">
        <v>67.03</v>
      </c>
      <c r="E784" t="s">
        <v>5</v>
      </c>
      <c r="F784">
        <v>5.35</v>
      </c>
      <c r="G784" t="s">
        <v>6</v>
      </c>
      <c r="H784" t="str">
        <f t="shared" si="78"/>
        <v>Passed</v>
      </c>
      <c r="I784" t="str">
        <f>IF(AND(Sheet1[[#This Row],[Attendance ]]&gt;65,Sheet1[[#This Row],[Attendance ]]&lt;75),"Yes","No")</f>
        <v>Yes</v>
      </c>
      <c r="J784" t="str">
        <f>IF(Sheet1[[#This Row],[Attendance ]]&lt;65,"Yes","No")</f>
        <v>No</v>
      </c>
      <c r="K784" t="str">
        <f>CHOOSE(MOD(ROW()-2,8)+1,
"Kadapa",
"Ananthapur",
"Rayachoti",
"Nellore",
"Chittoor",
"Madanapalli",
"Rajampeta",
"Tirupati")</f>
        <v>Rajampeta</v>
      </c>
      <c r="L784" t="str">
        <f>IF(AND(G782="4th Year",E782="Pass",F782&gt;=7),"Yes","No")</f>
        <v>No</v>
      </c>
    </row>
    <row r="785" spans="1:12" hidden="1" x14ac:dyDescent="0.35">
      <c r="A785" t="s">
        <v>826</v>
      </c>
      <c r="B785" t="s">
        <v>12</v>
      </c>
      <c r="C785" t="s">
        <v>20</v>
      </c>
      <c r="D785">
        <v>99.74</v>
      </c>
      <c r="E785" t="s">
        <v>5</v>
      </c>
      <c r="F785">
        <v>7.64</v>
      </c>
      <c r="G785" t="s">
        <v>6</v>
      </c>
      <c r="H785" t="str">
        <f t="shared" si="78"/>
        <v>Passed</v>
      </c>
      <c r="I785" t="str">
        <f>IF(AND(Sheet1[[#This Row],[Attendance ]]&gt;65,Sheet1[[#This Row],[Attendance ]]&lt;75),"Yes","No")</f>
        <v>No</v>
      </c>
      <c r="J785" t="str">
        <f>IF(Sheet1[[#This Row],[Attendance ]]&lt;65,"Yes","No")</f>
        <v>No</v>
      </c>
    </row>
    <row r="786" spans="1:12" hidden="1" x14ac:dyDescent="0.35">
      <c r="A786" t="s">
        <v>827</v>
      </c>
      <c r="B786" t="s">
        <v>164</v>
      </c>
      <c r="C786" t="s">
        <v>20</v>
      </c>
      <c r="D786">
        <v>60.69</v>
      </c>
      <c r="E786" t="s">
        <v>5</v>
      </c>
      <c r="F786">
        <v>8.5500000000000007</v>
      </c>
      <c r="G786" t="s">
        <v>6</v>
      </c>
      <c r="H786" t="str">
        <f t="shared" si="78"/>
        <v>Passed</v>
      </c>
      <c r="I786" t="str">
        <f>IF(AND(Sheet1[[#This Row],[Attendance ]]&gt;65,Sheet1[[#This Row],[Attendance ]]&lt;75),"Yes","No")</f>
        <v>No</v>
      </c>
      <c r="J786" t="str">
        <f>IF(Sheet1[[#This Row],[Attendance ]]&lt;65,"Yes","No")</f>
        <v>Yes</v>
      </c>
    </row>
    <row r="787" spans="1:12" hidden="1" x14ac:dyDescent="0.35">
      <c r="A787" t="s">
        <v>828</v>
      </c>
      <c r="B787" t="s">
        <v>34</v>
      </c>
      <c r="C787" t="s">
        <v>9</v>
      </c>
      <c r="D787">
        <v>98.13</v>
      </c>
      <c r="E787" t="s">
        <v>5</v>
      </c>
      <c r="F787">
        <v>6.71</v>
      </c>
      <c r="G787" t="s">
        <v>6</v>
      </c>
      <c r="H787" t="str">
        <f t="shared" si="78"/>
        <v>Passed</v>
      </c>
      <c r="I787" t="str">
        <f>IF(AND(Sheet1[[#This Row],[Attendance ]]&gt;65,Sheet1[[#This Row],[Attendance ]]&lt;75),"Yes","No")</f>
        <v>No</v>
      </c>
      <c r="J787" t="str">
        <f>IF(Sheet1[[#This Row],[Attendance ]]&lt;65,"Yes","No")</f>
        <v>No</v>
      </c>
    </row>
    <row r="788" spans="1:12" hidden="1" x14ac:dyDescent="0.35">
      <c r="A788" t="s">
        <v>829</v>
      </c>
      <c r="B788" t="s">
        <v>15</v>
      </c>
      <c r="C788" t="s">
        <v>23</v>
      </c>
      <c r="D788">
        <v>86.99</v>
      </c>
      <c r="E788" t="s">
        <v>5</v>
      </c>
      <c r="F788">
        <v>7.81</v>
      </c>
      <c r="G788" t="s">
        <v>11</v>
      </c>
      <c r="H788" t="str">
        <f t="shared" si="78"/>
        <v>Passed</v>
      </c>
      <c r="I788" t="str">
        <f>IF(AND(Sheet1[[#This Row],[Attendance ]]&gt;65,Sheet1[[#This Row],[Attendance ]]&lt;75),"Yes","No")</f>
        <v>No</v>
      </c>
      <c r="J788" t="str">
        <f>IF(Sheet1[[#This Row],[Attendance ]]&lt;65,"Yes","No")</f>
        <v>No</v>
      </c>
    </row>
    <row r="789" spans="1:12" hidden="1" x14ac:dyDescent="0.35">
      <c r="A789" t="s">
        <v>830</v>
      </c>
      <c r="B789" t="s">
        <v>17</v>
      </c>
      <c r="C789" t="s">
        <v>13</v>
      </c>
      <c r="D789">
        <v>94.17</v>
      </c>
      <c r="E789" t="s">
        <v>5</v>
      </c>
      <c r="F789">
        <v>6.87</v>
      </c>
      <c r="G789" t="s">
        <v>26</v>
      </c>
      <c r="H789" t="str">
        <f t="shared" si="78"/>
        <v>Passed</v>
      </c>
      <c r="I789" t="str">
        <f>IF(AND(Sheet1[[#This Row],[Attendance ]]&gt;65,Sheet1[[#This Row],[Attendance ]]&lt;75),"Yes","No")</f>
        <v>No</v>
      </c>
      <c r="J789" t="str">
        <f>IF(Sheet1[[#This Row],[Attendance ]]&lt;65,"Yes","No")</f>
        <v>No</v>
      </c>
    </row>
    <row r="790" spans="1:12" x14ac:dyDescent="0.35">
      <c r="A790" t="s">
        <v>831</v>
      </c>
      <c r="B790" t="s">
        <v>17</v>
      </c>
      <c r="C790" t="s">
        <v>23</v>
      </c>
      <c r="D790">
        <v>74.98</v>
      </c>
      <c r="E790" t="s">
        <v>5</v>
      </c>
      <c r="F790">
        <v>8.76</v>
      </c>
      <c r="G790" t="s">
        <v>26</v>
      </c>
      <c r="H790" t="str">
        <f t="shared" si="78"/>
        <v>Passed</v>
      </c>
      <c r="I790" t="str">
        <f>IF(AND(Sheet1[[#This Row],[Attendance ]]&gt;65,Sheet1[[#This Row],[Attendance ]]&lt;75),"Yes","No")</f>
        <v>Yes</v>
      </c>
      <c r="J790" t="str">
        <f>IF(Sheet1[[#This Row],[Attendance ]]&lt;65,"Yes","No")</f>
        <v>No</v>
      </c>
      <c r="K790" t="str">
        <f>CHOOSE(MOD(ROW()-2,8)+1,
"Kadapa",
"Ananthapur",
"Rayachoti",
"Nellore",
"Chittoor",
"Madanapalli",
"Rajampeta",
"Tirupati")</f>
        <v>Chittoor</v>
      </c>
      <c r="L790" t="str">
        <f>IF(AND(G788="4th Year",E788="Pass",F788&gt;=7),"Yes","No")</f>
        <v>No</v>
      </c>
    </row>
    <row r="791" spans="1:12" hidden="1" x14ac:dyDescent="0.35">
      <c r="A791" t="s">
        <v>832</v>
      </c>
      <c r="B791" t="s">
        <v>25</v>
      </c>
      <c r="C791" t="s">
        <v>20</v>
      </c>
      <c r="D791">
        <v>76.63</v>
      </c>
      <c r="E791" t="s">
        <v>5</v>
      </c>
      <c r="F791">
        <v>7.83</v>
      </c>
      <c r="G791" t="s">
        <v>6</v>
      </c>
      <c r="H791" t="str">
        <f t="shared" si="78"/>
        <v>Passed</v>
      </c>
      <c r="I791" t="str">
        <f>IF(AND(Sheet1[[#This Row],[Attendance ]]&gt;65,Sheet1[[#This Row],[Attendance ]]&lt;75),"Yes","No")</f>
        <v>No</v>
      </c>
      <c r="J791" t="str">
        <f>IF(Sheet1[[#This Row],[Attendance ]]&lt;65,"Yes","No")</f>
        <v>No</v>
      </c>
    </row>
    <row r="792" spans="1:12" hidden="1" x14ac:dyDescent="0.35">
      <c r="A792" t="s">
        <v>833</v>
      </c>
      <c r="B792" t="s">
        <v>164</v>
      </c>
      <c r="C792" t="s">
        <v>20</v>
      </c>
      <c r="D792">
        <v>93.53</v>
      </c>
      <c r="E792" t="s">
        <v>5</v>
      </c>
      <c r="F792">
        <v>5.43</v>
      </c>
      <c r="G792" t="s">
        <v>6</v>
      </c>
      <c r="H792" t="str">
        <f t="shared" si="78"/>
        <v>Passed</v>
      </c>
      <c r="I792" t="str">
        <f>IF(AND(Sheet1[[#This Row],[Attendance ]]&gt;65,Sheet1[[#This Row],[Attendance ]]&lt;75),"Yes","No")</f>
        <v>No</v>
      </c>
      <c r="J792" t="str">
        <f>IF(Sheet1[[#This Row],[Attendance ]]&lt;65,"Yes","No")</f>
        <v>No</v>
      </c>
    </row>
    <row r="793" spans="1:12" hidden="1" x14ac:dyDescent="0.35">
      <c r="A793" t="s">
        <v>834</v>
      </c>
      <c r="B793" t="s">
        <v>61</v>
      </c>
      <c r="C793" t="s">
        <v>13</v>
      </c>
      <c r="D793">
        <v>82.39</v>
      </c>
      <c r="E793" t="s">
        <v>5</v>
      </c>
      <c r="F793">
        <v>5.48</v>
      </c>
      <c r="G793" t="s">
        <v>28</v>
      </c>
      <c r="H793" t="str">
        <f t="shared" si="78"/>
        <v>Passed</v>
      </c>
      <c r="I793" t="str">
        <f>IF(AND(Sheet1[[#This Row],[Attendance ]]&gt;65,Sheet1[[#This Row],[Attendance ]]&lt;75),"Yes","No")</f>
        <v>No</v>
      </c>
      <c r="J793" t="str">
        <f>IF(Sheet1[[#This Row],[Attendance ]]&lt;65,"Yes","No")</f>
        <v>No</v>
      </c>
    </row>
    <row r="794" spans="1:12" hidden="1" x14ac:dyDescent="0.35">
      <c r="A794" t="s">
        <v>835</v>
      </c>
      <c r="B794" t="s">
        <v>116</v>
      </c>
      <c r="C794" t="s">
        <v>23</v>
      </c>
      <c r="D794">
        <v>84.22</v>
      </c>
      <c r="E794" t="s">
        <v>5</v>
      </c>
      <c r="F794">
        <v>8.49</v>
      </c>
      <c r="G794" t="s">
        <v>26</v>
      </c>
      <c r="H794" t="str">
        <f t="shared" si="78"/>
        <v>Passed</v>
      </c>
      <c r="I794" t="str">
        <f>IF(AND(Sheet1[[#This Row],[Attendance ]]&gt;65,Sheet1[[#This Row],[Attendance ]]&lt;75),"Yes","No")</f>
        <v>No</v>
      </c>
      <c r="J794" t="str">
        <f>IF(Sheet1[[#This Row],[Attendance ]]&lt;65,"Yes","No")</f>
        <v>No</v>
      </c>
    </row>
    <row r="795" spans="1:12" x14ac:dyDescent="0.35">
      <c r="A795" t="s">
        <v>836</v>
      </c>
      <c r="B795" t="s">
        <v>45</v>
      </c>
      <c r="C795" t="s">
        <v>4</v>
      </c>
      <c r="D795">
        <v>66.39</v>
      </c>
      <c r="E795" t="s">
        <v>5</v>
      </c>
      <c r="F795">
        <v>7.8</v>
      </c>
      <c r="G795" t="s">
        <v>28</v>
      </c>
      <c r="H795" t="str">
        <f t="shared" si="78"/>
        <v>Passed</v>
      </c>
      <c r="I795" t="str">
        <f>IF(AND(Sheet1[[#This Row],[Attendance ]]&gt;65,Sheet1[[#This Row],[Attendance ]]&lt;75),"Yes","No")</f>
        <v>Yes</v>
      </c>
      <c r="J795" t="str">
        <f>IF(Sheet1[[#This Row],[Attendance ]]&lt;65,"Yes","No")</f>
        <v>No</v>
      </c>
      <c r="K795" t="str">
        <f>CHOOSE(MOD(ROW()-2,8)+1,
"Kadapa",
"Ananthapur",
"Rayachoti",
"Nellore",
"Chittoor",
"Madanapalli",
"Rajampeta",
"Tirupati")</f>
        <v>Ananthapur</v>
      </c>
      <c r="L795" t="str">
        <f>IF(AND(G793="4th Year",E793="Pass",F793&gt;=7),"Yes","No")</f>
        <v>No</v>
      </c>
    </row>
    <row r="796" spans="1:12" hidden="1" x14ac:dyDescent="0.35">
      <c r="A796" t="s">
        <v>837</v>
      </c>
      <c r="B796" t="s">
        <v>58</v>
      </c>
      <c r="C796" t="s">
        <v>35</v>
      </c>
      <c r="D796">
        <v>85.83</v>
      </c>
      <c r="E796" t="s">
        <v>5</v>
      </c>
      <c r="F796">
        <v>7.91</v>
      </c>
      <c r="G796" t="s">
        <v>6</v>
      </c>
      <c r="H796" t="str">
        <f t="shared" si="78"/>
        <v>Passed</v>
      </c>
      <c r="I796" t="str">
        <f>IF(AND(Sheet1[[#This Row],[Attendance ]]&gt;65,Sheet1[[#This Row],[Attendance ]]&lt;75),"Yes","No")</f>
        <v>No</v>
      </c>
      <c r="J796" t="str">
        <f>IF(Sheet1[[#This Row],[Attendance ]]&lt;65,"Yes","No")</f>
        <v>No</v>
      </c>
    </row>
    <row r="797" spans="1:12" x14ac:dyDescent="0.35">
      <c r="A797" t="s">
        <v>838</v>
      </c>
      <c r="B797" t="s">
        <v>30</v>
      </c>
      <c r="C797" t="s">
        <v>4</v>
      </c>
      <c r="D797">
        <v>67.010000000000005</v>
      </c>
      <c r="E797" t="s">
        <v>5</v>
      </c>
      <c r="F797">
        <v>8.6</v>
      </c>
      <c r="G797" t="s">
        <v>26</v>
      </c>
      <c r="H797" t="str">
        <f t="shared" si="78"/>
        <v>Passed</v>
      </c>
      <c r="I797" t="str">
        <f>IF(AND(Sheet1[[#This Row],[Attendance ]]&gt;65,Sheet1[[#This Row],[Attendance ]]&lt;75),"Yes","No")</f>
        <v>Yes</v>
      </c>
      <c r="J797" t="str">
        <f>IF(Sheet1[[#This Row],[Attendance ]]&lt;65,"Yes","No")</f>
        <v>No</v>
      </c>
      <c r="K797" t="str">
        <f>CHOOSE(MOD(ROW()-2,8)+1,
"Kadapa",
"Ananthapur",
"Rayachoti",
"Nellore",
"Chittoor",
"Madanapalli",
"Rajampeta",
"Tirupati")</f>
        <v>Nellore</v>
      </c>
      <c r="L797" t="str">
        <f>IF(AND(G795="4th Year",E795="Pass",F795&gt;=7),"Yes","No")</f>
        <v>No</v>
      </c>
    </row>
    <row r="798" spans="1:12" hidden="1" x14ac:dyDescent="0.35">
      <c r="A798" t="s">
        <v>839</v>
      </c>
      <c r="B798" t="s">
        <v>77</v>
      </c>
      <c r="C798" t="s">
        <v>23</v>
      </c>
      <c r="D798">
        <v>61.64</v>
      </c>
      <c r="E798" t="s">
        <v>5</v>
      </c>
      <c r="F798">
        <v>5.23</v>
      </c>
      <c r="G798" t="s">
        <v>28</v>
      </c>
      <c r="H798" t="str">
        <f t="shared" si="78"/>
        <v>Passed</v>
      </c>
      <c r="I798" t="str">
        <f>IF(AND(Sheet1[[#This Row],[Attendance ]]&gt;65,Sheet1[[#This Row],[Attendance ]]&lt;75),"Yes","No")</f>
        <v>No</v>
      </c>
      <c r="J798" t="str">
        <f>IF(Sheet1[[#This Row],[Attendance ]]&lt;65,"Yes","No")</f>
        <v>Yes</v>
      </c>
    </row>
    <row r="799" spans="1:12" x14ac:dyDescent="0.35">
      <c r="A799" t="s">
        <v>840</v>
      </c>
      <c r="B799" t="s">
        <v>37</v>
      </c>
      <c r="C799" t="s">
        <v>9</v>
      </c>
      <c r="D799">
        <v>72.91</v>
      </c>
      <c r="E799" t="s">
        <v>5</v>
      </c>
      <c r="F799">
        <v>9.31</v>
      </c>
      <c r="G799" t="s">
        <v>26</v>
      </c>
      <c r="H799" t="str">
        <f t="shared" si="78"/>
        <v>Passed</v>
      </c>
      <c r="I799" t="str">
        <f>IF(AND(Sheet1[[#This Row],[Attendance ]]&gt;65,Sheet1[[#This Row],[Attendance ]]&lt;75),"Yes","No")</f>
        <v>Yes</v>
      </c>
      <c r="J799" t="str">
        <f>IF(Sheet1[[#This Row],[Attendance ]]&lt;65,"Yes","No")</f>
        <v>No</v>
      </c>
      <c r="K799" t="str">
        <f>CHOOSE(MOD(ROW()-2,8)+1,
"Kadapa",
"Ananthapur",
"Rayachoti",
"Nellore",
"Chittoor",
"Madanapalli",
"Rajampeta",
"Tirupati")</f>
        <v>Madanapalli</v>
      </c>
      <c r="L799" t="str">
        <f>IF(AND(G797="4th Year",E797="Pass",F797&gt;=7),"Yes","No")</f>
        <v>Yes</v>
      </c>
    </row>
    <row r="800" spans="1:12" hidden="1" x14ac:dyDescent="0.35">
      <c r="A800" t="s">
        <v>841</v>
      </c>
      <c r="B800" t="s">
        <v>15</v>
      </c>
      <c r="C800" t="s">
        <v>35</v>
      </c>
      <c r="D800">
        <v>62.19</v>
      </c>
      <c r="E800" t="s">
        <v>5</v>
      </c>
      <c r="F800">
        <v>6.4</v>
      </c>
      <c r="G800" t="s">
        <v>11</v>
      </c>
      <c r="H800" t="str">
        <f t="shared" si="78"/>
        <v>Passed</v>
      </c>
      <c r="I800" t="str">
        <f>IF(AND(Sheet1[[#This Row],[Attendance ]]&gt;65,Sheet1[[#This Row],[Attendance ]]&lt;75),"Yes","No")</f>
        <v>No</v>
      </c>
      <c r="J800" t="str">
        <f>IF(Sheet1[[#This Row],[Attendance ]]&lt;65,"Yes","No")</f>
        <v>Yes</v>
      </c>
    </row>
    <row r="801" spans="1:12" hidden="1" x14ac:dyDescent="0.35">
      <c r="A801" t="s">
        <v>842</v>
      </c>
      <c r="B801" t="s">
        <v>98</v>
      </c>
      <c r="C801" t="s">
        <v>23</v>
      </c>
      <c r="D801">
        <v>77.83</v>
      </c>
      <c r="E801" t="s">
        <v>5</v>
      </c>
      <c r="F801">
        <v>6.38</v>
      </c>
      <c r="G801" t="s">
        <v>26</v>
      </c>
      <c r="H801" t="str">
        <f t="shared" si="78"/>
        <v>Passed</v>
      </c>
      <c r="I801" t="str">
        <f>IF(AND(Sheet1[[#This Row],[Attendance ]]&gt;65,Sheet1[[#This Row],[Attendance ]]&lt;75),"Yes","No")</f>
        <v>No</v>
      </c>
      <c r="J801" t="str">
        <f>IF(Sheet1[[#This Row],[Attendance ]]&lt;65,"Yes","No")</f>
        <v>No</v>
      </c>
    </row>
    <row r="802" spans="1:12" x14ac:dyDescent="0.35">
      <c r="A802" t="s">
        <v>843</v>
      </c>
      <c r="B802" t="s">
        <v>17</v>
      </c>
      <c r="C802" t="s">
        <v>35</v>
      </c>
      <c r="D802">
        <v>73.319999999999993</v>
      </c>
      <c r="E802" t="s">
        <v>10</v>
      </c>
      <c r="F802">
        <v>6.41</v>
      </c>
      <c r="G802" t="s">
        <v>6</v>
      </c>
      <c r="H802" t="str">
        <f t="shared" si="78"/>
        <v>DBMS</v>
      </c>
      <c r="I802" t="str">
        <f>IF(AND(Sheet1[[#This Row],[Attendance ]]&gt;65,Sheet1[[#This Row],[Attendance ]]&lt;75),"Yes","No")</f>
        <v>Yes</v>
      </c>
      <c r="J802" t="str">
        <f>IF(Sheet1[[#This Row],[Attendance ]]&lt;65,"Yes","No")</f>
        <v>No</v>
      </c>
      <c r="K802" t="str">
        <f>CHOOSE(MOD(ROW()-2,8)+1,
"Kadapa",
"Ananthapur",
"Rayachoti",
"Nellore",
"Chittoor",
"Madanapalli",
"Rajampeta",
"Tirupati")</f>
        <v>Kadapa</v>
      </c>
      <c r="L802" t="str">
        <f>IF(AND(G800="4th Year",E800="Pass",F800&gt;=7),"Yes","No")</f>
        <v>No</v>
      </c>
    </row>
    <row r="803" spans="1:12" hidden="1" x14ac:dyDescent="0.35">
      <c r="A803" t="s">
        <v>844</v>
      </c>
      <c r="B803" t="s">
        <v>116</v>
      </c>
      <c r="C803" t="s">
        <v>13</v>
      </c>
      <c r="D803">
        <v>78.09</v>
      </c>
      <c r="E803" t="s">
        <v>10</v>
      </c>
      <c r="F803">
        <v>5.81</v>
      </c>
      <c r="G803" t="s">
        <v>6</v>
      </c>
      <c r="H803" t="str">
        <f t="shared" si="78"/>
        <v>DBMS</v>
      </c>
      <c r="I803" t="str">
        <f>IF(AND(Sheet1[[#This Row],[Attendance ]]&gt;65,Sheet1[[#This Row],[Attendance ]]&lt;75),"Yes","No")</f>
        <v>No</v>
      </c>
      <c r="J803" t="str">
        <f>IF(Sheet1[[#This Row],[Attendance ]]&lt;65,"Yes","No")</f>
        <v>No</v>
      </c>
    </row>
    <row r="804" spans="1:12" hidden="1" x14ac:dyDescent="0.35">
      <c r="A804" t="s">
        <v>845</v>
      </c>
      <c r="B804" t="s">
        <v>19</v>
      </c>
      <c r="C804" t="s">
        <v>20</v>
      </c>
      <c r="D804">
        <v>95.82</v>
      </c>
      <c r="E804" t="s">
        <v>5</v>
      </c>
      <c r="F804">
        <v>5.22</v>
      </c>
      <c r="G804" t="s">
        <v>28</v>
      </c>
      <c r="H804" t="str">
        <f t="shared" si="78"/>
        <v>Passed</v>
      </c>
      <c r="I804" t="str">
        <f>IF(AND(Sheet1[[#This Row],[Attendance ]]&gt;65,Sheet1[[#This Row],[Attendance ]]&lt;75),"Yes","No")</f>
        <v>No</v>
      </c>
      <c r="J804" t="str">
        <f>IF(Sheet1[[#This Row],[Attendance ]]&lt;65,"Yes","No")</f>
        <v>No</v>
      </c>
    </row>
    <row r="805" spans="1:12" hidden="1" x14ac:dyDescent="0.35">
      <c r="A805" t="s">
        <v>846</v>
      </c>
      <c r="B805" t="s">
        <v>34</v>
      </c>
      <c r="C805" t="s">
        <v>4</v>
      </c>
      <c r="D805">
        <v>75.069999999999993</v>
      </c>
      <c r="E805" t="s">
        <v>5</v>
      </c>
      <c r="F805">
        <v>7.95</v>
      </c>
      <c r="G805" t="s">
        <v>11</v>
      </c>
      <c r="H805" t="str">
        <f t="shared" si="78"/>
        <v>Passed</v>
      </c>
      <c r="I805" t="str">
        <f>IF(AND(Sheet1[[#This Row],[Attendance ]]&gt;65,Sheet1[[#This Row],[Attendance ]]&lt;75),"Yes","No")</f>
        <v>No</v>
      </c>
      <c r="J805" t="str">
        <f>IF(Sheet1[[#This Row],[Attendance ]]&lt;65,"Yes","No")</f>
        <v>No</v>
      </c>
    </row>
    <row r="806" spans="1:12" hidden="1" x14ac:dyDescent="0.35">
      <c r="A806" t="s">
        <v>847</v>
      </c>
      <c r="B806" t="s">
        <v>34</v>
      </c>
      <c r="C806" t="s">
        <v>35</v>
      </c>
      <c r="D806">
        <v>62.16</v>
      </c>
      <c r="E806" t="s">
        <v>5</v>
      </c>
      <c r="F806">
        <v>6.52</v>
      </c>
      <c r="G806" t="s">
        <v>6</v>
      </c>
      <c r="H806" t="str">
        <f t="shared" si="78"/>
        <v>Passed</v>
      </c>
      <c r="I806" t="str">
        <f>IF(AND(Sheet1[[#This Row],[Attendance ]]&gt;65,Sheet1[[#This Row],[Attendance ]]&lt;75),"Yes","No")</f>
        <v>No</v>
      </c>
      <c r="J806" t="str">
        <f>IF(Sheet1[[#This Row],[Attendance ]]&lt;65,"Yes","No")</f>
        <v>Yes</v>
      </c>
    </row>
    <row r="807" spans="1:12" hidden="1" x14ac:dyDescent="0.35">
      <c r="A807" t="s">
        <v>848</v>
      </c>
      <c r="B807" t="s">
        <v>58</v>
      </c>
      <c r="C807" t="s">
        <v>20</v>
      </c>
      <c r="D807">
        <v>90.64</v>
      </c>
      <c r="E807" t="s">
        <v>5</v>
      </c>
      <c r="F807">
        <v>5.54</v>
      </c>
      <c r="G807" t="s">
        <v>6</v>
      </c>
      <c r="H807" t="str">
        <f t="shared" si="78"/>
        <v>Passed</v>
      </c>
      <c r="I807" t="str">
        <f>IF(AND(Sheet1[[#This Row],[Attendance ]]&gt;65,Sheet1[[#This Row],[Attendance ]]&lt;75),"Yes","No")</f>
        <v>No</v>
      </c>
      <c r="J807" t="str">
        <f>IF(Sheet1[[#This Row],[Attendance ]]&lt;65,"Yes","No")</f>
        <v>No</v>
      </c>
    </row>
    <row r="808" spans="1:12" hidden="1" x14ac:dyDescent="0.35">
      <c r="A808" t="s">
        <v>849</v>
      </c>
      <c r="B808" t="s">
        <v>61</v>
      </c>
      <c r="C808" t="s">
        <v>35</v>
      </c>
      <c r="D808">
        <v>88.86</v>
      </c>
      <c r="E808" t="s">
        <v>5</v>
      </c>
      <c r="F808">
        <v>9.14</v>
      </c>
      <c r="G808" t="s">
        <v>6</v>
      </c>
      <c r="H808" t="str">
        <f t="shared" si="78"/>
        <v>Passed</v>
      </c>
      <c r="I808" t="str">
        <f>IF(AND(Sheet1[[#This Row],[Attendance ]]&gt;65,Sheet1[[#This Row],[Attendance ]]&lt;75),"Yes","No")</f>
        <v>No</v>
      </c>
      <c r="J808" t="str">
        <f>IF(Sheet1[[#This Row],[Attendance ]]&lt;65,"Yes","No")</f>
        <v>No</v>
      </c>
    </row>
    <row r="809" spans="1:12" hidden="1" x14ac:dyDescent="0.35">
      <c r="A809" t="s">
        <v>850</v>
      </c>
      <c r="B809" t="s">
        <v>72</v>
      </c>
      <c r="C809" t="s">
        <v>4</v>
      </c>
      <c r="D809">
        <v>64.67</v>
      </c>
      <c r="E809" t="s">
        <v>5</v>
      </c>
      <c r="F809">
        <v>8.98</v>
      </c>
      <c r="G809" t="s">
        <v>26</v>
      </c>
      <c r="H809" t="str">
        <f t="shared" si="78"/>
        <v>Passed</v>
      </c>
      <c r="I809" t="str">
        <f>IF(AND(Sheet1[[#This Row],[Attendance ]]&gt;65,Sheet1[[#This Row],[Attendance ]]&lt;75),"Yes","No")</f>
        <v>No</v>
      </c>
      <c r="J809" t="str">
        <f>IF(Sheet1[[#This Row],[Attendance ]]&lt;65,"Yes","No")</f>
        <v>Yes</v>
      </c>
    </row>
    <row r="810" spans="1:12" x14ac:dyDescent="0.35">
      <c r="A810" t="s">
        <v>851</v>
      </c>
      <c r="B810" t="s">
        <v>63</v>
      </c>
      <c r="C810" t="s">
        <v>23</v>
      </c>
      <c r="D810">
        <v>72.540000000000006</v>
      </c>
      <c r="E810" t="s">
        <v>10</v>
      </c>
      <c r="F810">
        <v>9.25</v>
      </c>
      <c r="G810" t="s">
        <v>28</v>
      </c>
      <c r="H810" t="str">
        <f t="shared" si="78"/>
        <v>Machine Learning</v>
      </c>
      <c r="I810" t="str">
        <f>IF(AND(Sheet1[[#This Row],[Attendance ]]&gt;65,Sheet1[[#This Row],[Attendance ]]&lt;75),"Yes","No")</f>
        <v>Yes</v>
      </c>
      <c r="J810" t="str">
        <f>IF(Sheet1[[#This Row],[Attendance ]]&lt;65,"Yes","No")</f>
        <v>No</v>
      </c>
      <c r="K810" t="str">
        <f>CHOOSE(MOD(ROW()-2,8)+1,
"Kadapa",
"Ananthapur",
"Rayachoti",
"Nellore",
"Chittoor",
"Madanapalli",
"Rajampeta",
"Tirupati")</f>
        <v>Kadapa</v>
      </c>
      <c r="L810" t="str">
        <f>IF(AND(G808="4th Year",E808="Pass",F808&gt;=7),"Yes","No")</f>
        <v>No</v>
      </c>
    </row>
    <row r="811" spans="1:12" hidden="1" x14ac:dyDescent="0.35">
      <c r="A811" t="s">
        <v>852</v>
      </c>
      <c r="B811" t="s">
        <v>88</v>
      </c>
      <c r="C811" t="s">
        <v>9</v>
      </c>
      <c r="D811">
        <v>82.2</v>
      </c>
      <c r="E811" t="s">
        <v>5</v>
      </c>
      <c r="F811">
        <v>9.1199999999999992</v>
      </c>
      <c r="G811" t="s">
        <v>26</v>
      </c>
      <c r="H811" t="str">
        <f t="shared" si="78"/>
        <v>Passed</v>
      </c>
      <c r="I811" t="str">
        <f>IF(AND(Sheet1[[#This Row],[Attendance ]]&gt;65,Sheet1[[#This Row],[Attendance ]]&lt;75),"Yes","No")</f>
        <v>No</v>
      </c>
      <c r="J811" t="str">
        <f>IF(Sheet1[[#This Row],[Attendance ]]&lt;65,"Yes","No")</f>
        <v>No</v>
      </c>
    </row>
    <row r="812" spans="1:12" hidden="1" x14ac:dyDescent="0.35">
      <c r="A812" t="s">
        <v>853</v>
      </c>
      <c r="B812" t="s">
        <v>17</v>
      </c>
      <c r="C812" t="s">
        <v>20</v>
      </c>
      <c r="D812">
        <v>61.36</v>
      </c>
      <c r="E812" t="s">
        <v>5</v>
      </c>
      <c r="F812">
        <v>8.91</v>
      </c>
      <c r="G812" t="s">
        <v>28</v>
      </c>
      <c r="H812" t="str">
        <f t="shared" si="78"/>
        <v>Passed</v>
      </c>
      <c r="I812" t="str">
        <f>IF(AND(Sheet1[[#This Row],[Attendance ]]&gt;65,Sheet1[[#This Row],[Attendance ]]&lt;75),"Yes","No")</f>
        <v>No</v>
      </c>
      <c r="J812" t="str">
        <f>IF(Sheet1[[#This Row],[Attendance ]]&lt;65,"Yes","No")</f>
        <v>Yes</v>
      </c>
    </row>
    <row r="813" spans="1:12" hidden="1" x14ac:dyDescent="0.35">
      <c r="A813" t="s">
        <v>854</v>
      </c>
      <c r="B813" t="s">
        <v>39</v>
      </c>
      <c r="C813" t="s">
        <v>13</v>
      </c>
      <c r="D813">
        <v>94.11</v>
      </c>
      <c r="E813" t="s">
        <v>5</v>
      </c>
      <c r="F813">
        <v>9.01</v>
      </c>
      <c r="G813" t="s">
        <v>6</v>
      </c>
      <c r="H813" t="str">
        <f t="shared" si="78"/>
        <v>Passed</v>
      </c>
      <c r="I813" t="str">
        <f>IF(AND(Sheet1[[#This Row],[Attendance ]]&gt;65,Sheet1[[#This Row],[Attendance ]]&lt;75),"Yes","No")</f>
        <v>No</v>
      </c>
      <c r="J813" t="str">
        <f>IF(Sheet1[[#This Row],[Attendance ]]&lt;65,"Yes","No")</f>
        <v>No</v>
      </c>
    </row>
    <row r="814" spans="1:12" x14ac:dyDescent="0.35">
      <c r="A814" t="s">
        <v>855</v>
      </c>
      <c r="B814" t="s">
        <v>3</v>
      </c>
      <c r="C814" t="s">
        <v>35</v>
      </c>
      <c r="D814">
        <v>73.510000000000005</v>
      </c>
      <c r="E814" t="s">
        <v>5</v>
      </c>
      <c r="F814">
        <v>5.21</v>
      </c>
      <c r="G814" t="s">
        <v>28</v>
      </c>
      <c r="H814" t="str">
        <f t="shared" si="78"/>
        <v>Passed</v>
      </c>
      <c r="I814" t="str">
        <f>IF(AND(Sheet1[[#This Row],[Attendance ]]&gt;65,Sheet1[[#This Row],[Attendance ]]&lt;75),"Yes","No")</f>
        <v>Yes</v>
      </c>
      <c r="J814" t="str">
        <f>IF(Sheet1[[#This Row],[Attendance ]]&lt;65,"Yes","No")</f>
        <v>No</v>
      </c>
      <c r="K814" t="str">
        <f>CHOOSE(MOD(ROW()-2,8)+1,
"Kadapa",
"Ananthapur",
"Rayachoti",
"Nellore",
"Chittoor",
"Madanapalli",
"Rajampeta",
"Tirupati")</f>
        <v>Chittoor</v>
      </c>
      <c r="L814" t="str">
        <f>IF(AND(G812="4th Year",E812="Pass",F812&gt;=7),"Yes","No")</f>
        <v>No</v>
      </c>
    </row>
    <row r="815" spans="1:12" hidden="1" x14ac:dyDescent="0.35">
      <c r="A815" t="s">
        <v>856</v>
      </c>
      <c r="B815" t="s">
        <v>3</v>
      </c>
      <c r="C815" t="s">
        <v>13</v>
      </c>
      <c r="D815">
        <v>92.23</v>
      </c>
      <c r="E815" t="s">
        <v>5</v>
      </c>
      <c r="F815">
        <v>9.61</v>
      </c>
      <c r="G815" t="s">
        <v>26</v>
      </c>
      <c r="H815" t="str">
        <f t="shared" si="78"/>
        <v>Passed</v>
      </c>
      <c r="I815" t="str">
        <f>IF(AND(Sheet1[[#This Row],[Attendance ]]&gt;65,Sheet1[[#This Row],[Attendance ]]&lt;75),"Yes","No")</f>
        <v>No</v>
      </c>
      <c r="J815" t="str">
        <f>IF(Sheet1[[#This Row],[Attendance ]]&lt;65,"Yes","No")</f>
        <v>No</v>
      </c>
    </row>
    <row r="816" spans="1:12" hidden="1" x14ac:dyDescent="0.35">
      <c r="A816" t="s">
        <v>857</v>
      </c>
      <c r="B816" t="s">
        <v>45</v>
      </c>
      <c r="C816" t="s">
        <v>23</v>
      </c>
      <c r="D816">
        <v>92.28</v>
      </c>
      <c r="E816" t="s">
        <v>5</v>
      </c>
      <c r="F816">
        <v>9.6199999999999992</v>
      </c>
      <c r="G816" t="s">
        <v>11</v>
      </c>
      <c r="H816" t="str">
        <f t="shared" si="78"/>
        <v>Passed</v>
      </c>
      <c r="I816" t="str">
        <f>IF(AND(Sheet1[[#This Row],[Attendance ]]&gt;65,Sheet1[[#This Row],[Attendance ]]&lt;75),"Yes","No")</f>
        <v>No</v>
      </c>
      <c r="J816" t="str">
        <f>IF(Sheet1[[#This Row],[Attendance ]]&lt;65,"Yes","No")</f>
        <v>No</v>
      </c>
    </row>
    <row r="817" spans="1:12" hidden="1" x14ac:dyDescent="0.35">
      <c r="A817" t="s">
        <v>858</v>
      </c>
      <c r="B817" t="s">
        <v>39</v>
      </c>
      <c r="C817" t="s">
        <v>4</v>
      </c>
      <c r="D817">
        <v>90.36</v>
      </c>
      <c r="E817" t="s">
        <v>5</v>
      </c>
      <c r="F817">
        <v>9.06</v>
      </c>
      <c r="G817" t="s">
        <v>26</v>
      </c>
      <c r="H817" t="str">
        <f t="shared" si="78"/>
        <v>Passed</v>
      </c>
      <c r="I817" t="str">
        <f>IF(AND(Sheet1[[#This Row],[Attendance ]]&gt;65,Sheet1[[#This Row],[Attendance ]]&lt;75),"Yes","No")</f>
        <v>No</v>
      </c>
      <c r="J817" t="str">
        <f>IF(Sheet1[[#This Row],[Attendance ]]&lt;65,"Yes","No")</f>
        <v>No</v>
      </c>
    </row>
    <row r="818" spans="1:12" x14ac:dyDescent="0.35">
      <c r="A818" t="s">
        <v>859</v>
      </c>
      <c r="B818" t="s">
        <v>63</v>
      </c>
      <c r="C818" t="s">
        <v>9</v>
      </c>
      <c r="D818">
        <v>66.260000000000005</v>
      </c>
      <c r="E818" t="s">
        <v>5</v>
      </c>
      <c r="F818">
        <v>8.1199999999999992</v>
      </c>
      <c r="G818" t="s">
        <v>6</v>
      </c>
      <c r="H818" t="str">
        <f t="shared" si="78"/>
        <v>Passed</v>
      </c>
      <c r="I818" t="str">
        <f>IF(AND(Sheet1[[#This Row],[Attendance ]]&gt;65,Sheet1[[#This Row],[Attendance ]]&lt;75),"Yes","No")</f>
        <v>Yes</v>
      </c>
      <c r="J818" t="str">
        <f>IF(Sheet1[[#This Row],[Attendance ]]&lt;65,"Yes","No")</f>
        <v>No</v>
      </c>
      <c r="K818" t="str">
        <f>CHOOSE(MOD(ROW()-2,8)+1,
"Kadapa",
"Ananthapur",
"Rayachoti",
"Nellore",
"Chittoor",
"Madanapalli",
"Rajampeta",
"Tirupati")</f>
        <v>Kadapa</v>
      </c>
      <c r="L818" t="str">
        <f>IF(AND(G816="4th Year",E816="Pass",F816&gt;=7),"Yes","No")</f>
        <v>No</v>
      </c>
    </row>
    <row r="819" spans="1:12" hidden="1" x14ac:dyDescent="0.35">
      <c r="A819" t="s">
        <v>860</v>
      </c>
      <c r="B819" t="s">
        <v>164</v>
      </c>
      <c r="C819" t="s">
        <v>13</v>
      </c>
      <c r="D819">
        <v>85.85</v>
      </c>
      <c r="E819" t="s">
        <v>5</v>
      </c>
      <c r="F819">
        <v>8.3800000000000008</v>
      </c>
      <c r="G819" t="s">
        <v>11</v>
      </c>
      <c r="H819" t="str">
        <f t="shared" si="78"/>
        <v>Passed</v>
      </c>
      <c r="I819" t="str">
        <f>IF(AND(Sheet1[[#This Row],[Attendance ]]&gt;65,Sheet1[[#This Row],[Attendance ]]&lt;75),"Yes","No")</f>
        <v>No</v>
      </c>
      <c r="J819" t="str">
        <f>IF(Sheet1[[#This Row],[Attendance ]]&lt;65,"Yes","No")</f>
        <v>No</v>
      </c>
    </row>
    <row r="820" spans="1:12" hidden="1" x14ac:dyDescent="0.35">
      <c r="A820" t="s">
        <v>861</v>
      </c>
      <c r="B820" t="s">
        <v>149</v>
      </c>
      <c r="C820" t="s">
        <v>4</v>
      </c>
      <c r="D820">
        <v>98.19</v>
      </c>
      <c r="E820" t="s">
        <v>5</v>
      </c>
      <c r="F820">
        <v>5.82</v>
      </c>
      <c r="G820" t="s">
        <v>28</v>
      </c>
      <c r="H820" t="str">
        <f t="shared" si="78"/>
        <v>Passed</v>
      </c>
      <c r="I820" t="str">
        <f>IF(AND(Sheet1[[#This Row],[Attendance ]]&gt;65,Sheet1[[#This Row],[Attendance ]]&lt;75),"Yes","No")</f>
        <v>No</v>
      </c>
      <c r="J820" t="str">
        <f>IF(Sheet1[[#This Row],[Attendance ]]&lt;65,"Yes","No")</f>
        <v>No</v>
      </c>
    </row>
    <row r="821" spans="1:12" hidden="1" x14ac:dyDescent="0.35">
      <c r="A821" t="s">
        <v>862</v>
      </c>
      <c r="B821" t="s">
        <v>30</v>
      </c>
      <c r="C821" t="s">
        <v>4</v>
      </c>
      <c r="D821">
        <v>93.7</v>
      </c>
      <c r="E821" t="s">
        <v>5</v>
      </c>
      <c r="F821">
        <v>8.16</v>
      </c>
      <c r="G821" t="s">
        <v>11</v>
      </c>
      <c r="H821" t="str">
        <f t="shared" si="78"/>
        <v>Passed</v>
      </c>
      <c r="I821" t="str">
        <f>IF(AND(Sheet1[[#This Row],[Attendance ]]&gt;65,Sheet1[[#This Row],[Attendance ]]&lt;75),"Yes","No")</f>
        <v>No</v>
      </c>
      <c r="J821" t="str">
        <f>IF(Sheet1[[#This Row],[Attendance ]]&lt;65,"Yes","No")</f>
        <v>No</v>
      </c>
    </row>
    <row r="822" spans="1:12" x14ac:dyDescent="0.35">
      <c r="A822" t="s">
        <v>863</v>
      </c>
      <c r="B822" t="s">
        <v>70</v>
      </c>
      <c r="C822" t="s">
        <v>35</v>
      </c>
      <c r="D822">
        <v>73.14</v>
      </c>
      <c r="E822" t="s">
        <v>5</v>
      </c>
      <c r="F822">
        <v>7.18</v>
      </c>
      <c r="G822" t="s">
        <v>11</v>
      </c>
      <c r="H822" t="str">
        <f t="shared" si="78"/>
        <v>Passed</v>
      </c>
      <c r="I822" t="str">
        <f>IF(AND(Sheet1[[#This Row],[Attendance ]]&gt;65,Sheet1[[#This Row],[Attendance ]]&lt;75),"Yes","No")</f>
        <v>Yes</v>
      </c>
      <c r="J822" t="str">
        <f>IF(Sheet1[[#This Row],[Attendance ]]&lt;65,"Yes","No")</f>
        <v>No</v>
      </c>
      <c r="K822" t="str">
        <f>CHOOSE(MOD(ROW()-2,8)+1,
"Kadapa",
"Ananthapur",
"Rayachoti",
"Nellore",
"Chittoor",
"Madanapalli",
"Rajampeta",
"Tirupati")</f>
        <v>Chittoor</v>
      </c>
      <c r="L822" t="str">
        <f>IF(AND(G820="4th Year",E820="Pass",F820&gt;=7),"Yes","No")</f>
        <v>No</v>
      </c>
    </row>
    <row r="823" spans="1:12" hidden="1" x14ac:dyDescent="0.35">
      <c r="A823" t="s">
        <v>864</v>
      </c>
      <c r="B823" t="s">
        <v>77</v>
      </c>
      <c r="C823" t="s">
        <v>4</v>
      </c>
      <c r="D823">
        <v>87.61</v>
      </c>
      <c r="E823" t="s">
        <v>5</v>
      </c>
      <c r="F823">
        <v>7.76</v>
      </c>
      <c r="G823" t="s">
        <v>6</v>
      </c>
      <c r="H823" t="str">
        <f t="shared" si="78"/>
        <v>Passed</v>
      </c>
      <c r="I823" t="str">
        <f>IF(AND(Sheet1[[#This Row],[Attendance ]]&gt;65,Sheet1[[#This Row],[Attendance ]]&lt;75),"Yes","No")</f>
        <v>No</v>
      </c>
      <c r="J823" t="str">
        <f>IF(Sheet1[[#This Row],[Attendance ]]&lt;65,"Yes","No")</f>
        <v>No</v>
      </c>
    </row>
    <row r="824" spans="1:12" hidden="1" x14ac:dyDescent="0.35">
      <c r="A824" t="s">
        <v>865</v>
      </c>
      <c r="B824" t="s">
        <v>25</v>
      </c>
      <c r="C824" t="s">
        <v>13</v>
      </c>
      <c r="D824">
        <v>61.06</v>
      </c>
      <c r="E824" t="s">
        <v>5</v>
      </c>
      <c r="F824">
        <v>6.04</v>
      </c>
      <c r="G824" t="s">
        <v>11</v>
      </c>
      <c r="H824" t="str">
        <f t="shared" si="78"/>
        <v>Passed</v>
      </c>
      <c r="I824" t="str">
        <f>IF(AND(Sheet1[[#This Row],[Attendance ]]&gt;65,Sheet1[[#This Row],[Attendance ]]&lt;75),"Yes","No")</f>
        <v>No</v>
      </c>
      <c r="J824" t="str">
        <f>IF(Sheet1[[#This Row],[Attendance ]]&lt;65,"Yes","No")</f>
        <v>Yes</v>
      </c>
    </row>
    <row r="825" spans="1:12" x14ac:dyDescent="0.35">
      <c r="A825" t="s">
        <v>866</v>
      </c>
      <c r="B825" t="s">
        <v>39</v>
      </c>
      <c r="C825" t="s">
        <v>9</v>
      </c>
      <c r="D825">
        <v>67.150000000000006</v>
      </c>
      <c r="E825" t="s">
        <v>5</v>
      </c>
      <c r="F825">
        <v>5.29</v>
      </c>
      <c r="G825" t="s">
        <v>26</v>
      </c>
      <c r="H825" t="str">
        <f t="shared" si="78"/>
        <v>Passed</v>
      </c>
      <c r="I825" t="str">
        <f>IF(AND(Sheet1[[#This Row],[Attendance ]]&gt;65,Sheet1[[#This Row],[Attendance ]]&lt;75),"Yes","No")</f>
        <v>Yes</v>
      </c>
      <c r="J825" t="str">
        <f>IF(Sheet1[[#This Row],[Attendance ]]&lt;65,"Yes","No")</f>
        <v>No</v>
      </c>
      <c r="K825" t="str">
        <f>CHOOSE(MOD(ROW()-2,8)+1,
"Kadapa",
"Ananthapur",
"Rayachoti",
"Nellore",
"Chittoor",
"Madanapalli",
"Rajampeta",
"Tirupati")</f>
        <v>Tirupati</v>
      </c>
      <c r="L825" t="str">
        <f>IF(AND(G823="4th Year",E823="Pass",F823&gt;=7),"Yes","No")</f>
        <v>No</v>
      </c>
    </row>
    <row r="826" spans="1:12" hidden="1" x14ac:dyDescent="0.35">
      <c r="A826" t="s">
        <v>867</v>
      </c>
      <c r="B826" t="s">
        <v>110</v>
      </c>
      <c r="C826" t="s">
        <v>4</v>
      </c>
      <c r="D826">
        <v>82.29</v>
      </c>
      <c r="E826" t="s">
        <v>5</v>
      </c>
      <c r="F826">
        <v>6.16</v>
      </c>
      <c r="G826" t="s">
        <v>28</v>
      </c>
      <c r="H826" t="str">
        <f t="shared" si="78"/>
        <v>Passed</v>
      </c>
      <c r="I826" t="str">
        <f>IF(AND(Sheet1[[#This Row],[Attendance ]]&gt;65,Sheet1[[#This Row],[Attendance ]]&lt;75),"Yes","No")</f>
        <v>No</v>
      </c>
      <c r="J826" t="str">
        <f>IF(Sheet1[[#This Row],[Attendance ]]&lt;65,"Yes","No")</f>
        <v>No</v>
      </c>
    </row>
    <row r="827" spans="1:12" hidden="1" x14ac:dyDescent="0.35">
      <c r="A827" t="s">
        <v>868</v>
      </c>
      <c r="B827" t="s">
        <v>8</v>
      </c>
      <c r="C827" t="s">
        <v>9</v>
      </c>
      <c r="D827">
        <v>75.14</v>
      </c>
      <c r="E827" t="s">
        <v>5</v>
      </c>
      <c r="F827">
        <v>7.72</v>
      </c>
      <c r="G827" t="s">
        <v>11</v>
      </c>
      <c r="H827" t="str">
        <f t="shared" si="78"/>
        <v>Passed</v>
      </c>
      <c r="I827" t="str">
        <f>IF(AND(Sheet1[[#This Row],[Attendance ]]&gt;65,Sheet1[[#This Row],[Attendance ]]&lt;75),"Yes","No")</f>
        <v>No</v>
      </c>
      <c r="J827" t="str">
        <f>IF(Sheet1[[#This Row],[Attendance ]]&lt;65,"Yes","No")</f>
        <v>No</v>
      </c>
    </row>
    <row r="828" spans="1:12" hidden="1" x14ac:dyDescent="0.35">
      <c r="A828" t="s">
        <v>869</v>
      </c>
      <c r="B828" t="s">
        <v>51</v>
      </c>
      <c r="C828" t="s">
        <v>35</v>
      </c>
      <c r="D828">
        <v>61.69</v>
      </c>
      <c r="E828" t="s">
        <v>5</v>
      </c>
      <c r="F828">
        <v>6.29</v>
      </c>
      <c r="G828" t="s">
        <v>28</v>
      </c>
      <c r="H828" t="str">
        <f t="shared" si="78"/>
        <v>Passed</v>
      </c>
      <c r="I828" t="str">
        <f>IF(AND(Sheet1[[#This Row],[Attendance ]]&gt;65,Sheet1[[#This Row],[Attendance ]]&lt;75),"Yes","No")</f>
        <v>No</v>
      </c>
      <c r="J828" t="str">
        <f>IF(Sheet1[[#This Row],[Attendance ]]&lt;65,"Yes","No")</f>
        <v>Yes</v>
      </c>
    </row>
    <row r="829" spans="1:12" hidden="1" x14ac:dyDescent="0.35">
      <c r="A829" t="s">
        <v>870</v>
      </c>
      <c r="B829" t="s">
        <v>12</v>
      </c>
      <c r="C829" t="s">
        <v>13</v>
      </c>
      <c r="D829">
        <v>64.78</v>
      </c>
      <c r="E829" t="s">
        <v>5</v>
      </c>
      <c r="F829">
        <v>7.08</v>
      </c>
      <c r="G829" t="s">
        <v>28</v>
      </c>
      <c r="H829" t="str">
        <f t="shared" si="78"/>
        <v>Passed</v>
      </c>
      <c r="I829" t="str">
        <f>IF(AND(Sheet1[[#This Row],[Attendance ]]&gt;65,Sheet1[[#This Row],[Attendance ]]&lt;75),"Yes","No")</f>
        <v>No</v>
      </c>
      <c r="J829" t="str">
        <f>IF(Sheet1[[#This Row],[Attendance ]]&lt;65,"Yes","No")</f>
        <v>Yes</v>
      </c>
    </row>
    <row r="830" spans="1:12" x14ac:dyDescent="0.35">
      <c r="A830" t="s">
        <v>871</v>
      </c>
      <c r="B830" t="s">
        <v>103</v>
      </c>
      <c r="C830" t="s">
        <v>13</v>
      </c>
      <c r="D830">
        <v>68.13</v>
      </c>
      <c r="E830" t="s">
        <v>5</v>
      </c>
      <c r="F830">
        <v>8.31</v>
      </c>
      <c r="G830" t="s">
        <v>6</v>
      </c>
      <c r="H830" t="str">
        <f t="shared" si="78"/>
        <v>Passed</v>
      </c>
      <c r="I830" t="str">
        <f>IF(AND(Sheet1[[#This Row],[Attendance ]]&gt;65,Sheet1[[#This Row],[Attendance ]]&lt;75),"Yes","No")</f>
        <v>Yes</v>
      </c>
      <c r="J830" t="str">
        <f>IF(Sheet1[[#This Row],[Attendance ]]&lt;65,"Yes","No")</f>
        <v>No</v>
      </c>
      <c r="K830" t="str">
        <f>CHOOSE(MOD(ROW()-2,8)+1,
"Kadapa",
"Ananthapur",
"Rayachoti",
"Nellore",
"Chittoor",
"Madanapalli",
"Rajampeta",
"Tirupati")</f>
        <v>Chittoor</v>
      </c>
      <c r="L830" t="str">
        <f>IF(AND(G828="4th Year",E828="Pass",F828&gt;=7),"Yes","No")</f>
        <v>No</v>
      </c>
    </row>
    <row r="831" spans="1:12" hidden="1" x14ac:dyDescent="0.35">
      <c r="A831" t="s">
        <v>872</v>
      </c>
      <c r="B831" t="s">
        <v>3</v>
      </c>
      <c r="C831" t="s">
        <v>35</v>
      </c>
      <c r="D831">
        <v>99.85</v>
      </c>
      <c r="E831" t="s">
        <v>10</v>
      </c>
      <c r="F831">
        <v>8.82</v>
      </c>
      <c r="G831" t="s">
        <v>6</v>
      </c>
      <c r="H831" t="str">
        <f t="shared" si="78"/>
        <v>DBMS</v>
      </c>
      <c r="I831" t="str">
        <f>IF(AND(Sheet1[[#This Row],[Attendance ]]&gt;65,Sheet1[[#This Row],[Attendance ]]&lt;75),"Yes","No")</f>
        <v>No</v>
      </c>
      <c r="J831" t="str">
        <f>IF(Sheet1[[#This Row],[Attendance ]]&lt;65,"Yes","No")</f>
        <v>No</v>
      </c>
    </row>
    <row r="832" spans="1:12" hidden="1" x14ac:dyDescent="0.35">
      <c r="A832" t="s">
        <v>873</v>
      </c>
      <c r="B832" t="s">
        <v>15</v>
      </c>
      <c r="C832" t="s">
        <v>35</v>
      </c>
      <c r="D832">
        <v>81.680000000000007</v>
      </c>
      <c r="E832" t="s">
        <v>5</v>
      </c>
      <c r="F832">
        <v>9.4</v>
      </c>
      <c r="G832" t="s">
        <v>26</v>
      </c>
      <c r="H832" t="str">
        <f t="shared" si="78"/>
        <v>Passed</v>
      </c>
      <c r="I832" t="str">
        <f>IF(AND(Sheet1[[#This Row],[Attendance ]]&gt;65,Sheet1[[#This Row],[Attendance ]]&lt;75),"Yes","No")</f>
        <v>No</v>
      </c>
      <c r="J832" t="str">
        <f>IF(Sheet1[[#This Row],[Attendance ]]&lt;65,"Yes","No")</f>
        <v>No</v>
      </c>
    </row>
    <row r="833" spans="1:12" hidden="1" x14ac:dyDescent="0.35">
      <c r="A833" t="s">
        <v>874</v>
      </c>
      <c r="B833" t="s">
        <v>17</v>
      </c>
      <c r="C833" t="s">
        <v>23</v>
      </c>
      <c r="D833">
        <v>83.01</v>
      </c>
      <c r="E833" t="s">
        <v>5</v>
      </c>
      <c r="F833">
        <v>5.14</v>
      </c>
      <c r="G833" t="s">
        <v>28</v>
      </c>
      <c r="H833" t="str">
        <f t="shared" si="78"/>
        <v>Passed</v>
      </c>
      <c r="I833" t="str">
        <f>IF(AND(Sheet1[[#This Row],[Attendance ]]&gt;65,Sheet1[[#This Row],[Attendance ]]&lt;75),"Yes","No")</f>
        <v>No</v>
      </c>
      <c r="J833" t="str">
        <f>IF(Sheet1[[#This Row],[Attendance ]]&lt;65,"Yes","No")</f>
        <v>No</v>
      </c>
    </row>
    <row r="834" spans="1:12" hidden="1" x14ac:dyDescent="0.35">
      <c r="A834" t="s">
        <v>875</v>
      </c>
      <c r="B834" t="s">
        <v>98</v>
      </c>
      <c r="C834" t="s">
        <v>9</v>
      </c>
      <c r="D834">
        <v>95.4</v>
      </c>
      <c r="E834" t="s">
        <v>5</v>
      </c>
      <c r="F834">
        <v>5.98</v>
      </c>
      <c r="G834" t="s">
        <v>6</v>
      </c>
      <c r="H834" t="str">
        <f t="shared" ref="H834:H897" si="79">IF(E834="Pass","Passed",
IF(G834="1st Year","M1",
IF(G834="2nd Year","DBMS",
IF(G834="3rd Year","Machine Learning",
IF(G834="4th Year","Deep Learning","")))))</f>
        <v>Passed</v>
      </c>
      <c r="I834" t="str">
        <f>IF(AND(Sheet1[[#This Row],[Attendance ]]&gt;65,Sheet1[[#This Row],[Attendance ]]&lt;75),"Yes","No")</f>
        <v>No</v>
      </c>
      <c r="J834" t="str">
        <f>IF(Sheet1[[#This Row],[Attendance ]]&lt;65,"Yes","No")</f>
        <v>No</v>
      </c>
    </row>
    <row r="835" spans="1:12" hidden="1" x14ac:dyDescent="0.35">
      <c r="A835" t="s">
        <v>876</v>
      </c>
      <c r="B835" t="s">
        <v>107</v>
      </c>
      <c r="C835" t="s">
        <v>4</v>
      </c>
      <c r="D835">
        <v>76.209999999999994</v>
      </c>
      <c r="E835" t="s">
        <v>5</v>
      </c>
      <c r="F835">
        <v>9.31</v>
      </c>
      <c r="G835" t="s">
        <v>6</v>
      </c>
      <c r="H835" t="str">
        <f t="shared" si="79"/>
        <v>Passed</v>
      </c>
      <c r="I835" t="str">
        <f>IF(AND(Sheet1[[#This Row],[Attendance ]]&gt;65,Sheet1[[#This Row],[Attendance ]]&lt;75),"Yes","No")</f>
        <v>No</v>
      </c>
      <c r="J835" t="str">
        <f>IF(Sheet1[[#This Row],[Attendance ]]&lt;65,"Yes","No")</f>
        <v>No</v>
      </c>
    </row>
    <row r="836" spans="1:12" hidden="1" x14ac:dyDescent="0.35">
      <c r="A836" t="s">
        <v>877</v>
      </c>
      <c r="B836" t="s">
        <v>103</v>
      </c>
      <c r="C836" t="s">
        <v>4</v>
      </c>
      <c r="D836">
        <v>76.64</v>
      </c>
      <c r="E836" t="s">
        <v>5</v>
      </c>
      <c r="F836">
        <v>7.28</v>
      </c>
      <c r="G836" t="s">
        <v>28</v>
      </c>
      <c r="H836" t="str">
        <f t="shared" si="79"/>
        <v>Passed</v>
      </c>
      <c r="I836" t="str">
        <f>IF(AND(Sheet1[[#This Row],[Attendance ]]&gt;65,Sheet1[[#This Row],[Attendance ]]&lt;75),"Yes","No")</f>
        <v>No</v>
      </c>
      <c r="J836" t="str">
        <f>IF(Sheet1[[#This Row],[Attendance ]]&lt;65,"Yes","No")</f>
        <v>No</v>
      </c>
    </row>
    <row r="837" spans="1:12" hidden="1" x14ac:dyDescent="0.35">
      <c r="A837" t="s">
        <v>878</v>
      </c>
      <c r="B837" t="s">
        <v>77</v>
      </c>
      <c r="C837" t="s">
        <v>35</v>
      </c>
      <c r="D837">
        <v>80.58</v>
      </c>
      <c r="E837" t="s">
        <v>5</v>
      </c>
      <c r="F837">
        <v>9.58</v>
      </c>
      <c r="G837" t="s">
        <v>26</v>
      </c>
      <c r="H837" t="str">
        <f t="shared" si="79"/>
        <v>Passed</v>
      </c>
      <c r="I837" t="str">
        <f>IF(AND(Sheet1[[#This Row],[Attendance ]]&gt;65,Sheet1[[#This Row],[Attendance ]]&lt;75),"Yes","No")</f>
        <v>No</v>
      </c>
      <c r="J837" t="str">
        <f>IF(Sheet1[[#This Row],[Attendance ]]&lt;65,"Yes","No")</f>
        <v>No</v>
      </c>
    </row>
    <row r="838" spans="1:12" x14ac:dyDescent="0.35">
      <c r="A838" t="s">
        <v>879</v>
      </c>
      <c r="B838" t="s">
        <v>8</v>
      </c>
      <c r="C838" t="s">
        <v>9</v>
      </c>
      <c r="D838">
        <v>70.48</v>
      </c>
      <c r="E838" t="s">
        <v>5</v>
      </c>
      <c r="F838">
        <v>9.52</v>
      </c>
      <c r="G838" t="s">
        <v>26</v>
      </c>
      <c r="H838" t="str">
        <f t="shared" si="79"/>
        <v>Passed</v>
      </c>
      <c r="I838" t="str">
        <f>IF(AND(Sheet1[[#This Row],[Attendance ]]&gt;65,Sheet1[[#This Row],[Attendance ]]&lt;75),"Yes","No")</f>
        <v>Yes</v>
      </c>
      <c r="J838" t="str">
        <f>IF(Sheet1[[#This Row],[Attendance ]]&lt;65,"Yes","No")</f>
        <v>No</v>
      </c>
      <c r="K838" t="str">
        <f t="shared" ref="K838:K839" si="80">CHOOSE(MOD(ROW()-2,8)+1,
"Kadapa",
"Ananthapur",
"Rayachoti",
"Nellore",
"Chittoor",
"Madanapalli",
"Rajampeta",
"Tirupati")</f>
        <v>Chittoor</v>
      </c>
      <c r="L838" t="str">
        <f t="shared" ref="L838:L839" si="81">IF(AND(G836="4th Year",E836="Pass",F836&gt;=7),"Yes","No")</f>
        <v>No</v>
      </c>
    </row>
    <row r="839" spans="1:12" x14ac:dyDescent="0.35">
      <c r="A839" t="s">
        <v>880</v>
      </c>
      <c r="B839" t="s">
        <v>30</v>
      </c>
      <c r="C839" t="s">
        <v>20</v>
      </c>
      <c r="D839">
        <v>65.95</v>
      </c>
      <c r="E839" t="s">
        <v>10</v>
      </c>
      <c r="F839">
        <v>7.93</v>
      </c>
      <c r="G839" t="s">
        <v>26</v>
      </c>
      <c r="H839" t="str">
        <f t="shared" si="79"/>
        <v>Deep Learning</v>
      </c>
      <c r="I839" t="str">
        <f>IF(AND(Sheet1[[#This Row],[Attendance ]]&gt;65,Sheet1[[#This Row],[Attendance ]]&lt;75),"Yes","No")</f>
        <v>Yes</v>
      </c>
      <c r="J839" t="str">
        <f>IF(Sheet1[[#This Row],[Attendance ]]&lt;65,"Yes","No")</f>
        <v>No</v>
      </c>
      <c r="K839" t="str">
        <f t="shared" si="80"/>
        <v>Madanapalli</v>
      </c>
      <c r="L839" t="str">
        <f t="shared" si="81"/>
        <v>Yes</v>
      </c>
    </row>
    <row r="840" spans="1:12" hidden="1" x14ac:dyDescent="0.35">
      <c r="A840" t="s">
        <v>881</v>
      </c>
      <c r="B840" t="s">
        <v>32</v>
      </c>
      <c r="C840" t="s">
        <v>13</v>
      </c>
      <c r="D840">
        <v>96.12</v>
      </c>
      <c r="E840" t="s">
        <v>5</v>
      </c>
      <c r="F840">
        <v>7.86</v>
      </c>
      <c r="G840" t="s">
        <v>6</v>
      </c>
      <c r="H840" t="str">
        <f t="shared" si="79"/>
        <v>Passed</v>
      </c>
      <c r="I840" t="str">
        <f>IF(AND(Sheet1[[#This Row],[Attendance ]]&gt;65,Sheet1[[#This Row],[Attendance ]]&lt;75),"Yes","No")</f>
        <v>No</v>
      </c>
      <c r="J840" t="str">
        <f>IF(Sheet1[[#This Row],[Attendance ]]&lt;65,"Yes","No")</f>
        <v>No</v>
      </c>
    </row>
    <row r="841" spans="1:12" hidden="1" x14ac:dyDescent="0.35">
      <c r="A841" t="s">
        <v>882</v>
      </c>
      <c r="B841" t="s">
        <v>107</v>
      </c>
      <c r="C841" t="s">
        <v>35</v>
      </c>
      <c r="D841">
        <v>96.58</v>
      </c>
      <c r="E841" t="s">
        <v>5</v>
      </c>
      <c r="F841">
        <v>7.36</v>
      </c>
      <c r="G841" t="s">
        <v>6</v>
      </c>
      <c r="H841" t="str">
        <f t="shared" si="79"/>
        <v>Passed</v>
      </c>
      <c r="I841" t="str">
        <f>IF(AND(Sheet1[[#This Row],[Attendance ]]&gt;65,Sheet1[[#This Row],[Attendance ]]&lt;75),"Yes","No")</f>
        <v>No</v>
      </c>
      <c r="J841" t="str">
        <f>IF(Sheet1[[#This Row],[Attendance ]]&lt;65,"Yes","No")</f>
        <v>No</v>
      </c>
    </row>
    <row r="842" spans="1:12" x14ac:dyDescent="0.35">
      <c r="A842" t="s">
        <v>883</v>
      </c>
      <c r="B842" t="s">
        <v>3</v>
      </c>
      <c r="C842" t="s">
        <v>4</v>
      </c>
      <c r="D842">
        <v>71.67</v>
      </c>
      <c r="E842" t="s">
        <v>5</v>
      </c>
      <c r="F842">
        <v>5.56</v>
      </c>
      <c r="G842" t="s">
        <v>28</v>
      </c>
      <c r="H842" t="str">
        <f t="shared" si="79"/>
        <v>Passed</v>
      </c>
      <c r="I842" t="str">
        <f>IF(AND(Sheet1[[#This Row],[Attendance ]]&gt;65,Sheet1[[#This Row],[Attendance ]]&lt;75),"Yes","No")</f>
        <v>Yes</v>
      </c>
      <c r="J842" t="str">
        <f>IF(Sheet1[[#This Row],[Attendance ]]&lt;65,"Yes","No")</f>
        <v>No</v>
      </c>
      <c r="K842" t="str">
        <f t="shared" ref="K842:K843" si="82">CHOOSE(MOD(ROW()-2,8)+1,
"Kadapa",
"Ananthapur",
"Rayachoti",
"Nellore",
"Chittoor",
"Madanapalli",
"Rajampeta",
"Tirupati")</f>
        <v>Kadapa</v>
      </c>
      <c r="L842" t="str">
        <f t="shared" ref="L842:L843" si="83">IF(AND(G840="4th Year",E840="Pass",F840&gt;=7),"Yes","No")</f>
        <v>No</v>
      </c>
    </row>
    <row r="843" spans="1:12" x14ac:dyDescent="0.35">
      <c r="A843" t="s">
        <v>884</v>
      </c>
      <c r="B843" t="s">
        <v>88</v>
      </c>
      <c r="C843" t="s">
        <v>23</v>
      </c>
      <c r="D843">
        <v>71.290000000000006</v>
      </c>
      <c r="E843" t="s">
        <v>5</v>
      </c>
      <c r="F843">
        <v>5.47</v>
      </c>
      <c r="G843" t="s">
        <v>11</v>
      </c>
      <c r="H843" t="str">
        <f t="shared" si="79"/>
        <v>Passed</v>
      </c>
      <c r="I843" t="str">
        <f>IF(AND(Sheet1[[#This Row],[Attendance ]]&gt;65,Sheet1[[#This Row],[Attendance ]]&lt;75),"Yes","No")</f>
        <v>Yes</v>
      </c>
      <c r="J843" t="str">
        <f>IF(Sheet1[[#This Row],[Attendance ]]&lt;65,"Yes","No")</f>
        <v>No</v>
      </c>
      <c r="K843" t="str">
        <f t="shared" si="82"/>
        <v>Ananthapur</v>
      </c>
      <c r="L843" t="str">
        <f t="shared" si="83"/>
        <v>No</v>
      </c>
    </row>
    <row r="844" spans="1:12" hidden="1" x14ac:dyDescent="0.35">
      <c r="A844" t="s">
        <v>885</v>
      </c>
      <c r="B844" t="s">
        <v>19</v>
      </c>
      <c r="C844" t="s">
        <v>4</v>
      </c>
      <c r="D844">
        <v>86.29</v>
      </c>
      <c r="E844" t="s">
        <v>5</v>
      </c>
      <c r="F844">
        <v>6.33</v>
      </c>
      <c r="G844" t="s">
        <v>28</v>
      </c>
      <c r="H844" t="str">
        <f t="shared" si="79"/>
        <v>Passed</v>
      </c>
      <c r="I844" t="str">
        <f>IF(AND(Sheet1[[#This Row],[Attendance ]]&gt;65,Sheet1[[#This Row],[Attendance ]]&lt;75),"Yes","No")</f>
        <v>No</v>
      </c>
      <c r="J844" t="str">
        <f>IF(Sheet1[[#This Row],[Attendance ]]&lt;65,"Yes","No")</f>
        <v>No</v>
      </c>
    </row>
    <row r="845" spans="1:12" x14ac:dyDescent="0.35">
      <c r="A845" t="s">
        <v>886</v>
      </c>
      <c r="B845" t="s">
        <v>43</v>
      </c>
      <c r="C845" t="s">
        <v>23</v>
      </c>
      <c r="D845">
        <v>71.39</v>
      </c>
      <c r="E845" t="s">
        <v>5</v>
      </c>
      <c r="F845">
        <v>8.17</v>
      </c>
      <c r="G845" t="s">
        <v>6</v>
      </c>
      <c r="H845" t="str">
        <f t="shared" si="79"/>
        <v>Passed</v>
      </c>
      <c r="I845" t="str">
        <f>IF(AND(Sheet1[[#This Row],[Attendance ]]&gt;65,Sheet1[[#This Row],[Attendance ]]&lt;75),"Yes","No")</f>
        <v>Yes</v>
      </c>
      <c r="J845" t="str">
        <f>IF(Sheet1[[#This Row],[Attendance ]]&lt;65,"Yes","No")</f>
        <v>No</v>
      </c>
      <c r="K845" t="str">
        <f t="shared" ref="K845:K846" si="84">CHOOSE(MOD(ROW()-2,8)+1,
"Kadapa",
"Ananthapur",
"Rayachoti",
"Nellore",
"Chittoor",
"Madanapalli",
"Rajampeta",
"Tirupati")</f>
        <v>Nellore</v>
      </c>
      <c r="L845" t="str">
        <f t="shared" ref="L845:L846" si="85">IF(AND(G843="4th Year",E843="Pass",F843&gt;=7),"Yes","No")</f>
        <v>No</v>
      </c>
    </row>
    <row r="846" spans="1:12" x14ac:dyDescent="0.35">
      <c r="A846" t="s">
        <v>887</v>
      </c>
      <c r="B846" t="s">
        <v>39</v>
      </c>
      <c r="C846" t="s">
        <v>4</v>
      </c>
      <c r="D846">
        <v>68.31</v>
      </c>
      <c r="E846" t="s">
        <v>5</v>
      </c>
      <c r="F846">
        <v>9.25</v>
      </c>
      <c r="G846" t="s">
        <v>26</v>
      </c>
      <c r="H846" t="str">
        <f t="shared" si="79"/>
        <v>Passed</v>
      </c>
      <c r="I846" t="str">
        <f>IF(AND(Sheet1[[#This Row],[Attendance ]]&gt;65,Sheet1[[#This Row],[Attendance ]]&lt;75),"Yes","No")</f>
        <v>Yes</v>
      </c>
      <c r="J846" t="str">
        <f>IF(Sheet1[[#This Row],[Attendance ]]&lt;65,"Yes","No")</f>
        <v>No</v>
      </c>
      <c r="K846" t="str">
        <f t="shared" si="84"/>
        <v>Chittoor</v>
      </c>
      <c r="L846" t="str">
        <f t="shared" si="85"/>
        <v>No</v>
      </c>
    </row>
    <row r="847" spans="1:12" hidden="1" x14ac:dyDescent="0.35">
      <c r="A847" t="s">
        <v>888</v>
      </c>
      <c r="B847" t="s">
        <v>110</v>
      </c>
      <c r="C847" t="s">
        <v>23</v>
      </c>
      <c r="D847">
        <v>90.86</v>
      </c>
      <c r="E847" t="s">
        <v>5</v>
      </c>
      <c r="F847">
        <v>8.36</v>
      </c>
      <c r="G847" t="s">
        <v>6</v>
      </c>
      <c r="H847" t="str">
        <f t="shared" si="79"/>
        <v>Passed</v>
      </c>
      <c r="I847" t="str">
        <f>IF(AND(Sheet1[[#This Row],[Attendance ]]&gt;65,Sheet1[[#This Row],[Attendance ]]&lt;75),"Yes","No")</f>
        <v>No</v>
      </c>
      <c r="J847" t="str">
        <f>IF(Sheet1[[#This Row],[Attendance ]]&lt;65,"Yes","No")</f>
        <v>No</v>
      </c>
    </row>
    <row r="848" spans="1:12" hidden="1" x14ac:dyDescent="0.35">
      <c r="A848" t="s">
        <v>889</v>
      </c>
      <c r="B848" t="s">
        <v>43</v>
      </c>
      <c r="C848" t="s">
        <v>20</v>
      </c>
      <c r="D848">
        <v>61.22</v>
      </c>
      <c r="E848" t="s">
        <v>5</v>
      </c>
      <c r="F848">
        <v>8.1999999999999993</v>
      </c>
      <c r="G848" t="s">
        <v>11</v>
      </c>
      <c r="H848" t="str">
        <f t="shared" si="79"/>
        <v>Passed</v>
      </c>
      <c r="I848" t="str">
        <f>IF(AND(Sheet1[[#This Row],[Attendance ]]&gt;65,Sheet1[[#This Row],[Attendance ]]&lt;75),"Yes","No")</f>
        <v>No</v>
      </c>
      <c r="J848" t="str">
        <f>IF(Sheet1[[#This Row],[Attendance ]]&lt;65,"Yes","No")</f>
        <v>Yes</v>
      </c>
    </row>
    <row r="849" spans="1:12" x14ac:dyDescent="0.35">
      <c r="A849" t="s">
        <v>890</v>
      </c>
      <c r="B849" t="s">
        <v>39</v>
      </c>
      <c r="C849" t="s">
        <v>4</v>
      </c>
      <c r="D849">
        <v>71.53</v>
      </c>
      <c r="E849" t="s">
        <v>5</v>
      </c>
      <c r="F849">
        <v>8.92</v>
      </c>
      <c r="G849" t="s">
        <v>26</v>
      </c>
      <c r="H849" t="str">
        <f t="shared" si="79"/>
        <v>Passed</v>
      </c>
      <c r="I849" t="str">
        <f>IF(AND(Sheet1[[#This Row],[Attendance ]]&gt;65,Sheet1[[#This Row],[Attendance ]]&lt;75),"Yes","No")</f>
        <v>Yes</v>
      </c>
      <c r="J849" t="str">
        <f>IF(Sheet1[[#This Row],[Attendance ]]&lt;65,"Yes","No")</f>
        <v>No</v>
      </c>
      <c r="K849" t="str">
        <f>CHOOSE(MOD(ROW()-2,8)+1,
"Kadapa",
"Ananthapur",
"Rayachoti",
"Nellore",
"Chittoor",
"Madanapalli",
"Rajampeta",
"Tirupati")</f>
        <v>Tirupati</v>
      </c>
      <c r="L849" t="str">
        <f>IF(AND(G847="4th Year",E847="Pass",F847&gt;=7),"Yes","No")</f>
        <v>No</v>
      </c>
    </row>
    <row r="850" spans="1:12" hidden="1" x14ac:dyDescent="0.35">
      <c r="A850" t="s">
        <v>891</v>
      </c>
      <c r="B850" t="s">
        <v>22</v>
      </c>
      <c r="C850" t="s">
        <v>13</v>
      </c>
      <c r="D850">
        <v>60.23</v>
      </c>
      <c r="E850" t="s">
        <v>5</v>
      </c>
      <c r="F850">
        <v>5.76</v>
      </c>
      <c r="G850" t="s">
        <v>26</v>
      </c>
      <c r="H850" t="str">
        <f t="shared" si="79"/>
        <v>Passed</v>
      </c>
      <c r="I850" t="str">
        <f>IF(AND(Sheet1[[#This Row],[Attendance ]]&gt;65,Sheet1[[#This Row],[Attendance ]]&lt;75),"Yes","No")</f>
        <v>No</v>
      </c>
      <c r="J850" t="str">
        <f>IF(Sheet1[[#This Row],[Attendance ]]&lt;65,"Yes","No")</f>
        <v>Yes</v>
      </c>
    </row>
    <row r="851" spans="1:12" x14ac:dyDescent="0.35">
      <c r="A851" t="s">
        <v>892</v>
      </c>
      <c r="B851" t="s">
        <v>107</v>
      </c>
      <c r="C851" t="s">
        <v>35</v>
      </c>
      <c r="D851">
        <v>66.790000000000006</v>
      </c>
      <c r="E851" t="s">
        <v>5</v>
      </c>
      <c r="F851">
        <v>8.15</v>
      </c>
      <c r="G851" t="s">
        <v>6</v>
      </c>
      <c r="H851" t="str">
        <f t="shared" si="79"/>
        <v>Passed</v>
      </c>
      <c r="I851" t="str">
        <f>IF(AND(Sheet1[[#This Row],[Attendance ]]&gt;65,Sheet1[[#This Row],[Attendance ]]&lt;75),"Yes","No")</f>
        <v>Yes</v>
      </c>
      <c r="J851" t="str">
        <f>IF(Sheet1[[#This Row],[Attendance ]]&lt;65,"Yes","No")</f>
        <v>No</v>
      </c>
      <c r="K851" t="str">
        <f>CHOOSE(MOD(ROW()-2,8)+1,
"Kadapa",
"Ananthapur",
"Rayachoti",
"Nellore",
"Chittoor",
"Madanapalli",
"Rajampeta",
"Tirupati")</f>
        <v>Ananthapur</v>
      </c>
      <c r="L851" t="str">
        <f>IF(AND(G849="4th Year",E849="Pass",F849&gt;=7),"Yes","No")</f>
        <v>Yes</v>
      </c>
    </row>
    <row r="852" spans="1:12" hidden="1" x14ac:dyDescent="0.35">
      <c r="A852" t="s">
        <v>893</v>
      </c>
      <c r="B852" t="s">
        <v>17</v>
      </c>
      <c r="C852" t="s">
        <v>20</v>
      </c>
      <c r="D852">
        <v>83.22</v>
      </c>
      <c r="E852" t="s">
        <v>5</v>
      </c>
      <c r="F852">
        <v>5.57</v>
      </c>
      <c r="G852" t="s">
        <v>6</v>
      </c>
      <c r="H852" t="str">
        <f t="shared" si="79"/>
        <v>Passed</v>
      </c>
      <c r="I852" t="str">
        <f>IF(AND(Sheet1[[#This Row],[Attendance ]]&gt;65,Sheet1[[#This Row],[Attendance ]]&lt;75),"Yes","No")</f>
        <v>No</v>
      </c>
      <c r="J852" t="str">
        <f>IF(Sheet1[[#This Row],[Attendance ]]&lt;65,"Yes","No")</f>
        <v>No</v>
      </c>
    </row>
    <row r="853" spans="1:12" hidden="1" x14ac:dyDescent="0.35">
      <c r="A853" t="s">
        <v>894</v>
      </c>
      <c r="B853" t="s">
        <v>43</v>
      </c>
      <c r="C853" t="s">
        <v>4</v>
      </c>
      <c r="D853">
        <v>96.29</v>
      </c>
      <c r="E853" t="s">
        <v>5</v>
      </c>
      <c r="F853">
        <v>5.66</v>
      </c>
      <c r="G853" t="s">
        <v>26</v>
      </c>
      <c r="H853" t="str">
        <f t="shared" si="79"/>
        <v>Passed</v>
      </c>
      <c r="I853" t="str">
        <f>IF(AND(Sheet1[[#This Row],[Attendance ]]&gt;65,Sheet1[[#This Row],[Attendance ]]&lt;75),"Yes","No")</f>
        <v>No</v>
      </c>
      <c r="J853" t="str">
        <f>IF(Sheet1[[#This Row],[Attendance ]]&lt;65,"Yes","No")</f>
        <v>No</v>
      </c>
    </row>
    <row r="854" spans="1:12" x14ac:dyDescent="0.35">
      <c r="A854" t="s">
        <v>895</v>
      </c>
      <c r="B854" t="s">
        <v>88</v>
      </c>
      <c r="C854" t="s">
        <v>20</v>
      </c>
      <c r="D854">
        <v>73.83</v>
      </c>
      <c r="E854" t="s">
        <v>10</v>
      </c>
      <c r="F854">
        <v>8.0299999999999994</v>
      </c>
      <c r="G854" t="s">
        <v>6</v>
      </c>
      <c r="H854" t="str">
        <f t="shared" si="79"/>
        <v>DBMS</v>
      </c>
      <c r="I854" t="str">
        <f>IF(AND(Sheet1[[#This Row],[Attendance ]]&gt;65,Sheet1[[#This Row],[Attendance ]]&lt;75),"Yes","No")</f>
        <v>Yes</v>
      </c>
      <c r="J854" t="str">
        <f>IF(Sheet1[[#This Row],[Attendance ]]&lt;65,"Yes","No")</f>
        <v>No</v>
      </c>
      <c r="K854" t="str">
        <f>CHOOSE(MOD(ROW()-2,8)+1,
"Kadapa",
"Ananthapur",
"Rayachoti",
"Nellore",
"Chittoor",
"Madanapalli",
"Rajampeta",
"Tirupati")</f>
        <v>Chittoor</v>
      </c>
      <c r="L854" t="str">
        <f>IF(AND(G852="4th Year",E852="Pass",F852&gt;=7),"Yes","No")</f>
        <v>No</v>
      </c>
    </row>
    <row r="855" spans="1:12" hidden="1" x14ac:dyDescent="0.35">
      <c r="A855" t="s">
        <v>896</v>
      </c>
      <c r="B855" t="s">
        <v>25</v>
      </c>
      <c r="C855" t="s">
        <v>9</v>
      </c>
      <c r="D855">
        <v>64.12</v>
      </c>
      <c r="E855" t="s">
        <v>5</v>
      </c>
      <c r="F855">
        <v>5.97</v>
      </c>
      <c r="G855" t="s">
        <v>28</v>
      </c>
      <c r="H855" t="str">
        <f t="shared" si="79"/>
        <v>Passed</v>
      </c>
      <c r="I855" t="str">
        <f>IF(AND(Sheet1[[#This Row],[Attendance ]]&gt;65,Sheet1[[#This Row],[Attendance ]]&lt;75),"Yes","No")</f>
        <v>No</v>
      </c>
      <c r="J855" t="str">
        <f>IF(Sheet1[[#This Row],[Attendance ]]&lt;65,"Yes","No")</f>
        <v>Yes</v>
      </c>
    </row>
    <row r="856" spans="1:12" hidden="1" x14ac:dyDescent="0.35">
      <c r="A856" t="s">
        <v>897</v>
      </c>
      <c r="B856" t="s">
        <v>77</v>
      </c>
      <c r="C856" t="s">
        <v>23</v>
      </c>
      <c r="D856">
        <v>97.7</v>
      </c>
      <c r="E856" t="s">
        <v>5</v>
      </c>
      <c r="F856">
        <v>9.65</v>
      </c>
      <c r="G856" t="s">
        <v>26</v>
      </c>
      <c r="H856" t="str">
        <f t="shared" si="79"/>
        <v>Passed</v>
      </c>
      <c r="I856" t="str">
        <f>IF(AND(Sheet1[[#This Row],[Attendance ]]&gt;65,Sheet1[[#This Row],[Attendance ]]&lt;75),"Yes","No")</f>
        <v>No</v>
      </c>
      <c r="J856" t="str">
        <f>IF(Sheet1[[#This Row],[Attendance ]]&lt;65,"Yes","No")</f>
        <v>No</v>
      </c>
    </row>
    <row r="857" spans="1:12" hidden="1" x14ac:dyDescent="0.35">
      <c r="A857" t="s">
        <v>898</v>
      </c>
      <c r="B857" t="s">
        <v>51</v>
      </c>
      <c r="C857" t="s">
        <v>4</v>
      </c>
      <c r="D857">
        <v>60.81</v>
      </c>
      <c r="E857" t="s">
        <v>5</v>
      </c>
      <c r="F857">
        <v>5.87</v>
      </c>
      <c r="G857" t="s">
        <v>11</v>
      </c>
      <c r="H857" t="str">
        <f t="shared" si="79"/>
        <v>Passed</v>
      </c>
      <c r="I857" t="str">
        <f>IF(AND(Sheet1[[#This Row],[Attendance ]]&gt;65,Sheet1[[#This Row],[Attendance ]]&lt;75),"Yes","No")</f>
        <v>No</v>
      </c>
      <c r="J857" t="str">
        <f>IF(Sheet1[[#This Row],[Attendance ]]&lt;65,"Yes","No")</f>
        <v>Yes</v>
      </c>
    </row>
    <row r="858" spans="1:12" x14ac:dyDescent="0.35">
      <c r="A858" t="s">
        <v>899</v>
      </c>
      <c r="B858" t="s">
        <v>3</v>
      </c>
      <c r="C858" t="s">
        <v>13</v>
      </c>
      <c r="D858">
        <v>72.56</v>
      </c>
      <c r="E858" t="s">
        <v>10</v>
      </c>
      <c r="F858">
        <v>8.6</v>
      </c>
      <c r="G858" t="s">
        <v>6</v>
      </c>
      <c r="H858" t="str">
        <f t="shared" si="79"/>
        <v>DBMS</v>
      </c>
      <c r="I858" t="str">
        <f>IF(AND(Sheet1[[#This Row],[Attendance ]]&gt;65,Sheet1[[#This Row],[Attendance ]]&lt;75),"Yes","No")</f>
        <v>Yes</v>
      </c>
      <c r="J858" t="str">
        <f>IF(Sheet1[[#This Row],[Attendance ]]&lt;65,"Yes","No")</f>
        <v>No</v>
      </c>
      <c r="K858" t="str">
        <f t="shared" ref="K858:K861" si="86">CHOOSE(MOD(ROW()-2,8)+1,
"Kadapa",
"Ananthapur",
"Rayachoti",
"Nellore",
"Chittoor",
"Madanapalli",
"Rajampeta",
"Tirupati")</f>
        <v>Kadapa</v>
      </c>
      <c r="L858" t="str">
        <f t="shared" ref="L858:L861" si="87">IF(AND(G856="4th Year",E856="Pass",F856&gt;=7),"Yes","No")</f>
        <v>Yes</v>
      </c>
    </row>
    <row r="859" spans="1:12" x14ac:dyDescent="0.35">
      <c r="A859" t="s">
        <v>900</v>
      </c>
      <c r="B859" t="s">
        <v>77</v>
      </c>
      <c r="C859" t="s">
        <v>9</v>
      </c>
      <c r="D859">
        <v>71.55</v>
      </c>
      <c r="E859" t="s">
        <v>5</v>
      </c>
      <c r="F859">
        <v>9.01</v>
      </c>
      <c r="G859" t="s">
        <v>26</v>
      </c>
      <c r="H859" t="str">
        <f t="shared" si="79"/>
        <v>Passed</v>
      </c>
      <c r="I859" t="str">
        <f>IF(AND(Sheet1[[#This Row],[Attendance ]]&gt;65,Sheet1[[#This Row],[Attendance ]]&lt;75),"Yes","No")</f>
        <v>Yes</v>
      </c>
      <c r="J859" t="str">
        <f>IF(Sheet1[[#This Row],[Attendance ]]&lt;65,"Yes","No")</f>
        <v>No</v>
      </c>
      <c r="K859" t="str">
        <f t="shared" si="86"/>
        <v>Ananthapur</v>
      </c>
      <c r="L859" t="str">
        <f t="shared" si="87"/>
        <v>No</v>
      </c>
    </row>
    <row r="860" spans="1:12" x14ac:dyDescent="0.35">
      <c r="A860" t="s">
        <v>901</v>
      </c>
      <c r="B860" t="s">
        <v>77</v>
      </c>
      <c r="C860" t="s">
        <v>13</v>
      </c>
      <c r="D860">
        <v>74.099999999999994</v>
      </c>
      <c r="E860" t="s">
        <v>5</v>
      </c>
      <c r="F860">
        <v>9.18</v>
      </c>
      <c r="G860" t="s">
        <v>11</v>
      </c>
      <c r="H860" t="str">
        <f t="shared" si="79"/>
        <v>Passed</v>
      </c>
      <c r="I860" t="str">
        <f>IF(AND(Sheet1[[#This Row],[Attendance ]]&gt;65,Sheet1[[#This Row],[Attendance ]]&lt;75),"Yes","No")</f>
        <v>Yes</v>
      </c>
      <c r="J860" t="str">
        <f>IF(Sheet1[[#This Row],[Attendance ]]&lt;65,"Yes","No")</f>
        <v>No</v>
      </c>
      <c r="K860" t="str">
        <f t="shared" si="86"/>
        <v>Rayachoti</v>
      </c>
      <c r="L860" t="str">
        <f t="shared" si="87"/>
        <v>No</v>
      </c>
    </row>
    <row r="861" spans="1:12" x14ac:dyDescent="0.35">
      <c r="A861" t="s">
        <v>902</v>
      </c>
      <c r="B861" t="s">
        <v>30</v>
      </c>
      <c r="C861" t="s">
        <v>20</v>
      </c>
      <c r="D861">
        <v>73.03</v>
      </c>
      <c r="E861" t="s">
        <v>5</v>
      </c>
      <c r="F861">
        <v>7.11</v>
      </c>
      <c r="G861" t="s">
        <v>6</v>
      </c>
      <c r="H861" t="str">
        <f t="shared" si="79"/>
        <v>Passed</v>
      </c>
      <c r="I861" t="str">
        <f>IF(AND(Sheet1[[#This Row],[Attendance ]]&gt;65,Sheet1[[#This Row],[Attendance ]]&lt;75),"Yes","No")</f>
        <v>Yes</v>
      </c>
      <c r="J861" t="str">
        <f>IF(Sheet1[[#This Row],[Attendance ]]&lt;65,"Yes","No")</f>
        <v>No</v>
      </c>
      <c r="K861" t="str">
        <f t="shared" si="86"/>
        <v>Nellore</v>
      </c>
      <c r="L861" t="str">
        <f t="shared" si="87"/>
        <v>Yes</v>
      </c>
    </row>
    <row r="862" spans="1:12" hidden="1" x14ac:dyDescent="0.35">
      <c r="A862" t="s">
        <v>903</v>
      </c>
      <c r="B862" t="s">
        <v>12</v>
      </c>
      <c r="C862" t="s">
        <v>23</v>
      </c>
      <c r="D862">
        <v>88.12</v>
      </c>
      <c r="E862" t="s">
        <v>10</v>
      </c>
      <c r="F862">
        <v>5.36</v>
      </c>
      <c r="G862" t="s">
        <v>26</v>
      </c>
      <c r="H862" t="str">
        <f t="shared" si="79"/>
        <v>Deep Learning</v>
      </c>
      <c r="I862" t="str">
        <f>IF(AND(Sheet1[[#This Row],[Attendance ]]&gt;65,Sheet1[[#This Row],[Attendance ]]&lt;75),"Yes","No")</f>
        <v>No</v>
      </c>
      <c r="J862" t="str">
        <f>IF(Sheet1[[#This Row],[Attendance ]]&lt;65,"Yes","No")</f>
        <v>No</v>
      </c>
    </row>
    <row r="863" spans="1:12" hidden="1" x14ac:dyDescent="0.35">
      <c r="A863" t="s">
        <v>904</v>
      </c>
      <c r="B863" t="s">
        <v>58</v>
      </c>
      <c r="C863" t="s">
        <v>23</v>
      </c>
      <c r="D863">
        <v>90.62</v>
      </c>
      <c r="E863" t="s">
        <v>5</v>
      </c>
      <c r="F863">
        <v>8.1199999999999992</v>
      </c>
      <c r="G863" t="s">
        <v>28</v>
      </c>
      <c r="H863" t="str">
        <f t="shared" si="79"/>
        <v>Passed</v>
      </c>
      <c r="I863" t="str">
        <f>IF(AND(Sheet1[[#This Row],[Attendance ]]&gt;65,Sheet1[[#This Row],[Attendance ]]&lt;75),"Yes","No")</f>
        <v>No</v>
      </c>
      <c r="J863" t="str">
        <f>IF(Sheet1[[#This Row],[Attendance ]]&lt;65,"Yes","No")</f>
        <v>No</v>
      </c>
    </row>
    <row r="864" spans="1:12" hidden="1" x14ac:dyDescent="0.35">
      <c r="A864" t="s">
        <v>905</v>
      </c>
      <c r="B864" t="s">
        <v>58</v>
      </c>
      <c r="C864" t="s">
        <v>20</v>
      </c>
      <c r="D864">
        <v>83.4</v>
      </c>
      <c r="E864" t="s">
        <v>5</v>
      </c>
      <c r="F864">
        <v>9.43</v>
      </c>
      <c r="G864" t="s">
        <v>28</v>
      </c>
      <c r="H864" t="str">
        <f t="shared" si="79"/>
        <v>Passed</v>
      </c>
      <c r="I864" t="str">
        <f>IF(AND(Sheet1[[#This Row],[Attendance ]]&gt;65,Sheet1[[#This Row],[Attendance ]]&lt;75),"Yes","No")</f>
        <v>No</v>
      </c>
      <c r="J864" t="str">
        <f>IF(Sheet1[[#This Row],[Attendance ]]&lt;65,"Yes","No")</f>
        <v>No</v>
      </c>
    </row>
    <row r="865" spans="1:12" x14ac:dyDescent="0.35">
      <c r="A865" t="s">
        <v>906</v>
      </c>
      <c r="B865" t="s">
        <v>110</v>
      </c>
      <c r="C865" t="s">
        <v>13</v>
      </c>
      <c r="D865">
        <v>65.739999999999995</v>
      </c>
      <c r="E865" t="s">
        <v>5</v>
      </c>
      <c r="F865">
        <v>6.2</v>
      </c>
      <c r="G865" t="s">
        <v>26</v>
      </c>
      <c r="H865" t="str">
        <f t="shared" si="79"/>
        <v>Passed</v>
      </c>
      <c r="I865" t="str">
        <f>IF(AND(Sheet1[[#This Row],[Attendance ]]&gt;65,Sheet1[[#This Row],[Attendance ]]&lt;75),"Yes","No")</f>
        <v>Yes</v>
      </c>
      <c r="J865" t="str">
        <f>IF(Sheet1[[#This Row],[Attendance ]]&lt;65,"Yes","No")</f>
        <v>No</v>
      </c>
      <c r="K865" t="str">
        <f>CHOOSE(MOD(ROW()-2,8)+1,
"Kadapa",
"Ananthapur",
"Rayachoti",
"Nellore",
"Chittoor",
"Madanapalli",
"Rajampeta",
"Tirupati")</f>
        <v>Tirupati</v>
      </c>
      <c r="L865" t="str">
        <f>IF(AND(G863="4th Year",E863="Pass",F863&gt;=7),"Yes","No")</f>
        <v>No</v>
      </c>
    </row>
    <row r="866" spans="1:12" hidden="1" x14ac:dyDescent="0.35">
      <c r="A866" t="s">
        <v>907</v>
      </c>
      <c r="B866" t="s">
        <v>98</v>
      </c>
      <c r="C866" t="s">
        <v>20</v>
      </c>
      <c r="D866">
        <v>77.12</v>
      </c>
      <c r="E866" t="s">
        <v>5</v>
      </c>
      <c r="F866">
        <v>9.7899999999999991</v>
      </c>
      <c r="G866" t="s">
        <v>11</v>
      </c>
      <c r="H866" t="str">
        <f t="shared" si="79"/>
        <v>Passed</v>
      </c>
      <c r="I866" t="str">
        <f>IF(AND(Sheet1[[#This Row],[Attendance ]]&gt;65,Sheet1[[#This Row],[Attendance ]]&lt;75),"Yes","No")</f>
        <v>No</v>
      </c>
      <c r="J866" t="str">
        <f>IF(Sheet1[[#This Row],[Attendance ]]&lt;65,"Yes","No")</f>
        <v>No</v>
      </c>
    </row>
    <row r="867" spans="1:12" hidden="1" x14ac:dyDescent="0.35">
      <c r="A867" t="s">
        <v>908</v>
      </c>
      <c r="B867" t="s">
        <v>51</v>
      </c>
      <c r="C867" t="s">
        <v>35</v>
      </c>
      <c r="D867">
        <v>98.9</v>
      </c>
      <c r="E867" t="s">
        <v>10</v>
      </c>
      <c r="F867">
        <v>7.94</v>
      </c>
      <c r="G867" t="s">
        <v>6</v>
      </c>
      <c r="H867" t="str">
        <f t="shared" si="79"/>
        <v>DBMS</v>
      </c>
      <c r="I867" t="str">
        <f>IF(AND(Sheet1[[#This Row],[Attendance ]]&gt;65,Sheet1[[#This Row],[Attendance ]]&lt;75),"Yes","No")</f>
        <v>No</v>
      </c>
      <c r="J867" t="str">
        <f>IF(Sheet1[[#This Row],[Attendance ]]&lt;65,"Yes","No")</f>
        <v>No</v>
      </c>
    </row>
    <row r="868" spans="1:12" hidden="1" x14ac:dyDescent="0.35">
      <c r="A868" t="s">
        <v>909</v>
      </c>
      <c r="B868" t="s">
        <v>103</v>
      </c>
      <c r="C868" t="s">
        <v>23</v>
      </c>
      <c r="D868">
        <v>60.7</v>
      </c>
      <c r="E868" t="s">
        <v>5</v>
      </c>
      <c r="F868">
        <v>7.41</v>
      </c>
      <c r="G868" t="s">
        <v>26</v>
      </c>
      <c r="H868" t="str">
        <f t="shared" si="79"/>
        <v>Passed</v>
      </c>
      <c r="I868" t="str">
        <f>IF(AND(Sheet1[[#This Row],[Attendance ]]&gt;65,Sheet1[[#This Row],[Attendance ]]&lt;75),"Yes","No")</f>
        <v>No</v>
      </c>
      <c r="J868" t="str">
        <f>IF(Sheet1[[#This Row],[Attendance ]]&lt;65,"Yes","No")</f>
        <v>Yes</v>
      </c>
    </row>
    <row r="869" spans="1:12" x14ac:dyDescent="0.35">
      <c r="A869" t="s">
        <v>910</v>
      </c>
      <c r="B869" t="s">
        <v>32</v>
      </c>
      <c r="C869" t="s">
        <v>23</v>
      </c>
      <c r="D869">
        <v>73.739999999999995</v>
      </c>
      <c r="E869" t="s">
        <v>5</v>
      </c>
      <c r="F869">
        <v>5.9</v>
      </c>
      <c r="G869" t="s">
        <v>11</v>
      </c>
      <c r="H869" t="str">
        <f t="shared" si="79"/>
        <v>Passed</v>
      </c>
      <c r="I869" t="str">
        <f>IF(AND(Sheet1[[#This Row],[Attendance ]]&gt;65,Sheet1[[#This Row],[Attendance ]]&lt;75),"Yes","No")</f>
        <v>Yes</v>
      </c>
      <c r="J869" t="str">
        <f>IF(Sheet1[[#This Row],[Attendance ]]&lt;65,"Yes","No")</f>
        <v>No</v>
      </c>
      <c r="K869" t="str">
        <f>CHOOSE(MOD(ROW()-2,8)+1,
"Kadapa",
"Ananthapur",
"Rayachoti",
"Nellore",
"Chittoor",
"Madanapalli",
"Rajampeta",
"Tirupati")</f>
        <v>Nellore</v>
      </c>
      <c r="L869" t="str">
        <f>IF(AND(G867="4th Year",E867="Pass",F867&gt;=7),"Yes","No")</f>
        <v>No</v>
      </c>
    </row>
    <row r="870" spans="1:12" hidden="1" x14ac:dyDescent="0.35">
      <c r="A870" t="s">
        <v>911</v>
      </c>
      <c r="B870" t="s">
        <v>39</v>
      </c>
      <c r="C870" t="s">
        <v>9</v>
      </c>
      <c r="D870">
        <v>60.33</v>
      </c>
      <c r="E870" t="s">
        <v>5</v>
      </c>
      <c r="F870">
        <v>6.22</v>
      </c>
      <c r="G870" t="s">
        <v>11</v>
      </c>
      <c r="H870" t="str">
        <f t="shared" si="79"/>
        <v>Passed</v>
      </c>
      <c r="I870" t="str">
        <f>IF(AND(Sheet1[[#This Row],[Attendance ]]&gt;65,Sheet1[[#This Row],[Attendance ]]&lt;75),"Yes","No")</f>
        <v>No</v>
      </c>
      <c r="J870" t="str">
        <f>IF(Sheet1[[#This Row],[Attendance ]]&lt;65,"Yes","No")</f>
        <v>Yes</v>
      </c>
    </row>
    <row r="871" spans="1:12" hidden="1" x14ac:dyDescent="0.35">
      <c r="A871" t="s">
        <v>912</v>
      </c>
      <c r="B871" t="s">
        <v>43</v>
      </c>
      <c r="C871" t="s">
        <v>20</v>
      </c>
      <c r="D871">
        <v>99.02</v>
      </c>
      <c r="E871" t="s">
        <v>5</v>
      </c>
      <c r="F871">
        <v>5</v>
      </c>
      <c r="G871" t="s">
        <v>28</v>
      </c>
      <c r="H871" t="str">
        <f t="shared" si="79"/>
        <v>Passed</v>
      </c>
      <c r="I871" t="str">
        <f>IF(AND(Sheet1[[#This Row],[Attendance ]]&gt;65,Sheet1[[#This Row],[Attendance ]]&lt;75),"Yes","No")</f>
        <v>No</v>
      </c>
      <c r="J871" t="str">
        <f>IF(Sheet1[[#This Row],[Attendance ]]&lt;65,"Yes","No")</f>
        <v>No</v>
      </c>
    </row>
    <row r="872" spans="1:12" hidden="1" x14ac:dyDescent="0.35">
      <c r="A872" t="s">
        <v>913</v>
      </c>
      <c r="B872" t="s">
        <v>70</v>
      </c>
      <c r="C872" t="s">
        <v>4</v>
      </c>
      <c r="D872">
        <v>98.29</v>
      </c>
      <c r="E872" t="s">
        <v>5</v>
      </c>
      <c r="F872">
        <v>5.75</v>
      </c>
      <c r="G872" t="s">
        <v>11</v>
      </c>
      <c r="H872" t="str">
        <f t="shared" si="79"/>
        <v>Passed</v>
      </c>
      <c r="I872" t="str">
        <f>IF(AND(Sheet1[[#This Row],[Attendance ]]&gt;65,Sheet1[[#This Row],[Attendance ]]&lt;75),"Yes","No")</f>
        <v>No</v>
      </c>
      <c r="J872" t="str">
        <f>IF(Sheet1[[#This Row],[Attendance ]]&lt;65,"Yes","No")</f>
        <v>No</v>
      </c>
    </row>
    <row r="873" spans="1:12" hidden="1" x14ac:dyDescent="0.35">
      <c r="A873" t="s">
        <v>914</v>
      </c>
      <c r="B873" t="s">
        <v>88</v>
      </c>
      <c r="C873" t="s">
        <v>23</v>
      </c>
      <c r="D873">
        <v>63.01</v>
      </c>
      <c r="E873" t="s">
        <v>10</v>
      </c>
      <c r="F873">
        <v>8.01</v>
      </c>
      <c r="G873" t="s">
        <v>28</v>
      </c>
      <c r="H873" t="str">
        <f t="shared" si="79"/>
        <v>Machine Learning</v>
      </c>
      <c r="I873" t="str">
        <f>IF(AND(Sheet1[[#This Row],[Attendance ]]&gt;65,Sheet1[[#This Row],[Attendance ]]&lt;75),"Yes","No")</f>
        <v>No</v>
      </c>
      <c r="J873" t="str">
        <f>IF(Sheet1[[#This Row],[Attendance ]]&lt;65,"Yes","No")</f>
        <v>Yes</v>
      </c>
    </row>
    <row r="874" spans="1:12" hidden="1" x14ac:dyDescent="0.35">
      <c r="A874" t="s">
        <v>915</v>
      </c>
      <c r="B874" t="s">
        <v>15</v>
      </c>
      <c r="C874" t="s">
        <v>13</v>
      </c>
      <c r="D874">
        <v>94.14</v>
      </c>
      <c r="E874" t="s">
        <v>10</v>
      </c>
      <c r="F874">
        <v>8.23</v>
      </c>
      <c r="G874" t="s">
        <v>26</v>
      </c>
      <c r="H874" t="str">
        <f t="shared" si="79"/>
        <v>Deep Learning</v>
      </c>
      <c r="I874" t="str">
        <f>IF(AND(Sheet1[[#This Row],[Attendance ]]&gt;65,Sheet1[[#This Row],[Attendance ]]&lt;75),"Yes","No")</f>
        <v>No</v>
      </c>
      <c r="J874" t="str">
        <f>IF(Sheet1[[#This Row],[Attendance ]]&lt;65,"Yes","No")</f>
        <v>No</v>
      </c>
    </row>
    <row r="875" spans="1:12" hidden="1" x14ac:dyDescent="0.35">
      <c r="A875" t="s">
        <v>916</v>
      </c>
      <c r="B875" t="s">
        <v>8</v>
      </c>
      <c r="C875" t="s">
        <v>35</v>
      </c>
      <c r="D875">
        <v>85.02</v>
      </c>
      <c r="E875" t="s">
        <v>5</v>
      </c>
      <c r="F875">
        <v>8.6</v>
      </c>
      <c r="G875" t="s">
        <v>6</v>
      </c>
      <c r="H875" t="str">
        <f t="shared" si="79"/>
        <v>Passed</v>
      </c>
      <c r="I875" t="str">
        <f>IF(AND(Sheet1[[#This Row],[Attendance ]]&gt;65,Sheet1[[#This Row],[Attendance ]]&lt;75),"Yes","No")</f>
        <v>No</v>
      </c>
      <c r="J875" t="str">
        <f>IF(Sheet1[[#This Row],[Attendance ]]&lt;65,"Yes","No")</f>
        <v>No</v>
      </c>
    </row>
    <row r="876" spans="1:12" hidden="1" x14ac:dyDescent="0.35">
      <c r="A876" t="s">
        <v>917</v>
      </c>
      <c r="B876" t="s">
        <v>25</v>
      </c>
      <c r="C876" t="s">
        <v>35</v>
      </c>
      <c r="D876">
        <v>62.45</v>
      </c>
      <c r="E876" t="s">
        <v>5</v>
      </c>
      <c r="F876">
        <v>6.69</v>
      </c>
      <c r="G876" t="s">
        <v>11</v>
      </c>
      <c r="H876" t="str">
        <f t="shared" si="79"/>
        <v>Passed</v>
      </c>
      <c r="I876" t="str">
        <f>IF(AND(Sheet1[[#This Row],[Attendance ]]&gt;65,Sheet1[[#This Row],[Attendance ]]&lt;75),"Yes","No")</f>
        <v>No</v>
      </c>
      <c r="J876" t="str">
        <f>IF(Sheet1[[#This Row],[Attendance ]]&lt;65,"Yes","No")</f>
        <v>Yes</v>
      </c>
    </row>
    <row r="877" spans="1:12" x14ac:dyDescent="0.35">
      <c r="A877" t="s">
        <v>918</v>
      </c>
      <c r="B877" t="s">
        <v>72</v>
      </c>
      <c r="C877" t="s">
        <v>35</v>
      </c>
      <c r="D877">
        <v>66.38</v>
      </c>
      <c r="E877" t="s">
        <v>10</v>
      </c>
      <c r="F877">
        <v>6.78</v>
      </c>
      <c r="G877" t="s">
        <v>6</v>
      </c>
      <c r="H877" t="str">
        <f t="shared" si="79"/>
        <v>DBMS</v>
      </c>
      <c r="I877" t="str">
        <f>IF(AND(Sheet1[[#This Row],[Attendance ]]&gt;65,Sheet1[[#This Row],[Attendance ]]&lt;75),"Yes","No")</f>
        <v>Yes</v>
      </c>
      <c r="J877" t="str">
        <f>IF(Sheet1[[#This Row],[Attendance ]]&lt;65,"Yes","No")</f>
        <v>No</v>
      </c>
      <c r="K877" t="str">
        <f>CHOOSE(MOD(ROW()-2,8)+1,
"Kadapa",
"Ananthapur",
"Rayachoti",
"Nellore",
"Chittoor",
"Madanapalli",
"Rajampeta",
"Tirupati")</f>
        <v>Nellore</v>
      </c>
      <c r="L877" t="str">
        <f>IF(AND(G875="4th Year",E875="Pass",F875&gt;=7),"Yes","No")</f>
        <v>No</v>
      </c>
    </row>
    <row r="878" spans="1:12" hidden="1" x14ac:dyDescent="0.35">
      <c r="A878" t="s">
        <v>919</v>
      </c>
      <c r="B878" t="s">
        <v>98</v>
      </c>
      <c r="C878" t="s">
        <v>23</v>
      </c>
      <c r="D878">
        <v>78.569999999999993</v>
      </c>
      <c r="E878" t="s">
        <v>5</v>
      </c>
      <c r="F878">
        <v>6.07</v>
      </c>
      <c r="G878" t="s">
        <v>26</v>
      </c>
      <c r="H878" t="str">
        <f t="shared" si="79"/>
        <v>Passed</v>
      </c>
      <c r="I878" t="str">
        <f>IF(AND(Sheet1[[#This Row],[Attendance ]]&gt;65,Sheet1[[#This Row],[Attendance ]]&lt;75),"Yes","No")</f>
        <v>No</v>
      </c>
      <c r="J878" t="str">
        <f>IF(Sheet1[[#This Row],[Attendance ]]&lt;65,"Yes","No")</f>
        <v>No</v>
      </c>
    </row>
    <row r="879" spans="1:12" x14ac:dyDescent="0.35">
      <c r="A879" t="s">
        <v>920</v>
      </c>
      <c r="B879" t="s">
        <v>98</v>
      </c>
      <c r="C879" t="s">
        <v>9</v>
      </c>
      <c r="D879">
        <v>73.66</v>
      </c>
      <c r="E879" t="s">
        <v>10</v>
      </c>
      <c r="F879">
        <v>5.28</v>
      </c>
      <c r="G879" t="s">
        <v>6</v>
      </c>
      <c r="H879" t="str">
        <f t="shared" si="79"/>
        <v>DBMS</v>
      </c>
      <c r="I879" t="str">
        <f>IF(AND(Sheet1[[#This Row],[Attendance ]]&gt;65,Sheet1[[#This Row],[Attendance ]]&lt;75),"Yes","No")</f>
        <v>Yes</v>
      </c>
      <c r="J879" t="str">
        <f>IF(Sheet1[[#This Row],[Attendance ]]&lt;65,"Yes","No")</f>
        <v>No</v>
      </c>
      <c r="K879" t="str">
        <f>CHOOSE(MOD(ROW()-2,8)+1,
"Kadapa",
"Ananthapur",
"Rayachoti",
"Nellore",
"Chittoor",
"Madanapalli",
"Rajampeta",
"Tirupati")</f>
        <v>Madanapalli</v>
      </c>
      <c r="L879" t="str">
        <f>IF(AND(G877="4th Year",E877="Pass",F877&gt;=7),"Yes","No")</f>
        <v>No</v>
      </c>
    </row>
    <row r="880" spans="1:12" hidden="1" x14ac:dyDescent="0.35">
      <c r="A880" t="s">
        <v>921</v>
      </c>
      <c r="B880" t="s">
        <v>39</v>
      </c>
      <c r="C880" t="s">
        <v>13</v>
      </c>
      <c r="D880">
        <v>99.61</v>
      </c>
      <c r="E880" t="s">
        <v>5</v>
      </c>
      <c r="F880">
        <v>9.24</v>
      </c>
      <c r="G880" t="s">
        <v>28</v>
      </c>
      <c r="H880" t="str">
        <f t="shared" si="79"/>
        <v>Passed</v>
      </c>
      <c r="I880" t="str">
        <f>IF(AND(Sheet1[[#This Row],[Attendance ]]&gt;65,Sheet1[[#This Row],[Attendance ]]&lt;75),"Yes","No")</f>
        <v>No</v>
      </c>
      <c r="J880" t="str">
        <f>IF(Sheet1[[#This Row],[Attendance ]]&lt;65,"Yes","No")</f>
        <v>No</v>
      </c>
    </row>
    <row r="881" spans="1:12" hidden="1" x14ac:dyDescent="0.35">
      <c r="A881" t="s">
        <v>922</v>
      </c>
      <c r="B881" t="s">
        <v>15</v>
      </c>
      <c r="C881" t="s">
        <v>4</v>
      </c>
      <c r="D881">
        <v>91.54</v>
      </c>
      <c r="E881" t="s">
        <v>5</v>
      </c>
      <c r="F881">
        <v>7.36</v>
      </c>
      <c r="G881" t="s">
        <v>11</v>
      </c>
      <c r="H881" t="str">
        <f t="shared" si="79"/>
        <v>Passed</v>
      </c>
      <c r="I881" t="str">
        <f>IF(AND(Sheet1[[#This Row],[Attendance ]]&gt;65,Sheet1[[#This Row],[Attendance ]]&lt;75),"Yes","No")</f>
        <v>No</v>
      </c>
      <c r="J881" t="str">
        <f>IF(Sheet1[[#This Row],[Attendance ]]&lt;65,"Yes","No")</f>
        <v>No</v>
      </c>
    </row>
    <row r="882" spans="1:12" hidden="1" x14ac:dyDescent="0.35">
      <c r="A882" t="s">
        <v>923</v>
      </c>
      <c r="B882" t="s">
        <v>63</v>
      </c>
      <c r="C882" t="s">
        <v>20</v>
      </c>
      <c r="D882">
        <v>79.930000000000007</v>
      </c>
      <c r="E882" t="s">
        <v>5</v>
      </c>
      <c r="F882">
        <v>8.92</v>
      </c>
      <c r="G882" t="s">
        <v>26</v>
      </c>
      <c r="H882" t="str">
        <f t="shared" si="79"/>
        <v>Passed</v>
      </c>
      <c r="I882" t="str">
        <f>IF(AND(Sheet1[[#This Row],[Attendance ]]&gt;65,Sheet1[[#This Row],[Attendance ]]&lt;75),"Yes","No")</f>
        <v>No</v>
      </c>
      <c r="J882" t="str">
        <f>IF(Sheet1[[#This Row],[Attendance ]]&lt;65,"Yes","No")</f>
        <v>No</v>
      </c>
    </row>
    <row r="883" spans="1:12" x14ac:dyDescent="0.35">
      <c r="A883" t="s">
        <v>924</v>
      </c>
      <c r="B883" t="s">
        <v>22</v>
      </c>
      <c r="C883" t="s">
        <v>23</v>
      </c>
      <c r="D883">
        <v>68.930000000000007</v>
      </c>
      <c r="E883" t="s">
        <v>5</v>
      </c>
      <c r="F883">
        <v>5.17</v>
      </c>
      <c r="G883" t="s">
        <v>28</v>
      </c>
      <c r="H883" t="str">
        <f t="shared" si="79"/>
        <v>Passed</v>
      </c>
      <c r="I883" t="str">
        <f>IF(AND(Sheet1[[#This Row],[Attendance ]]&gt;65,Sheet1[[#This Row],[Attendance ]]&lt;75),"Yes","No")</f>
        <v>Yes</v>
      </c>
      <c r="J883" t="str">
        <f>IF(Sheet1[[#This Row],[Attendance ]]&lt;65,"Yes","No")</f>
        <v>No</v>
      </c>
      <c r="K883" t="str">
        <f>CHOOSE(MOD(ROW()-2,8)+1,
"Kadapa",
"Ananthapur",
"Rayachoti",
"Nellore",
"Chittoor",
"Madanapalli",
"Rajampeta",
"Tirupati")</f>
        <v>Ananthapur</v>
      </c>
      <c r="L883" t="str">
        <f>IF(AND(G881="4th Year",E881="Pass",F881&gt;=7),"Yes","No")</f>
        <v>No</v>
      </c>
    </row>
    <row r="884" spans="1:12" hidden="1" x14ac:dyDescent="0.35">
      <c r="A884" t="s">
        <v>925</v>
      </c>
      <c r="B884" t="s">
        <v>110</v>
      </c>
      <c r="C884" t="s">
        <v>4</v>
      </c>
      <c r="D884">
        <v>83.93</v>
      </c>
      <c r="E884" t="s">
        <v>5</v>
      </c>
      <c r="F884">
        <v>8.8699999999999992</v>
      </c>
      <c r="G884" t="s">
        <v>6</v>
      </c>
      <c r="H884" t="str">
        <f t="shared" si="79"/>
        <v>Passed</v>
      </c>
      <c r="I884" t="str">
        <f>IF(AND(Sheet1[[#This Row],[Attendance ]]&gt;65,Sheet1[[#This Row],[Attendance ]]&lt;75),"Yes","No")</f>
        <v>No</v>
      </c>
      <c r="J884" t="str">
        <f>IF(Sheet1[[#This Row],[Attendance ]]&lt;65,"Yes","No")</f>
        <v>No</v>
      </c>
    </row>
    <row r="885" spans="1:12" hidden="1" x14ac:dyDescent="0.35">
      <c r="A885" t="s">
        <v>926</v>
      </c>
      <c r="B885" t="s">
        <v>63</v>
      </c>
      <c r="C885" t="s">
        <v>4</v>
      </c>
      <c r="D885">
        <v>85.67</v>
      </c>
      <c r="E885" t="s">
        <v>5</v>
      </c>
      <c r="F885">
        <v>8.58</v>
      </c>
      <c r="G885" t="s">
        <v>11</v>
      </c>
      <c r="H885" t="str">
        <f t="shared" si="79"/>
        <v>Passed</v>
      </c>
      <c r="I885" t="str">
        <f>IF(AND(Sheet1[[#This Row],[Attendance ]]&gt;65,Sheet1[[#This Row],[Attendance ]]&lt;75),"Yes","No")</f>
        <v>No</v>
      </c>
      <c r="J885" t="str">
        <f>IF(Sheet1[[#This Row],[Attendance ]]&lt;65,"Yes","No")</f>
        <v>No</v>
      </c>
    </row>
    <row r="886" spans="1:12" hidden="1" x14ac:dyDescent="0.35">
      <c r="A886" t="s">
        <v>927</v>
      </c>
      <c r="B886" t="s">
        <v>98</v>
      </c>
      <c r="C886" t="s">
        <v>9</v>
      </c>
      <c r="D886">
        <v>84.85</v>
      </c>
      <c r="E886" t="s">
        <v>5</v>
      </c>
      <c r="F886">
        <v>5.99</v>
      </c>
      <c r="G886" t="s">
        <v>28</v>
      </c>
      <c r="H886" t="str">
        <f t="shared" si="79"/>
        <v>Passed</v>
      </c>
      <c r="I886" t="str">
        <f>IF(AND(Sheet1[[#This Row],[Attendance ]]&gt;65,Sheet1[[#This Row],[Attendance ]]&lt;75),"Yes","No")</f>
        <v>No</v>
      </c>
      <c r="J886" t="str">
        <f>IF(Sheet1[[#This Row],[Attendance ]]&lt;65,"Yes","No")</f>
        <v>No</v>
      </c>
    </row>
    <row r="887" spans="1:12" hidden="1" x14ac:dyDescent="0.35">
      <c r="A887" t="s">
        <v>928</v>
      </c>
      <c r="B887" t="s">
        <v>32</v>
      </c>
      <c r="C887" t="s">
        <v>35</v>
      </c>
      <c r="D887">
        <v>95</v>
      </c>
      <c r="E887" t="s">
        <v>5</v>
      </c>
      <c r="F887">
        <v>6.78</v>
      </c>
      <c r="G887" t="s">
        <v>26</v>
      </c>
      <c r="H887" t="str">
        <f t="shared" si="79"/>
        <v>Passed</v>
      </c>
      <c r="I887" t="str">
        <f>IF(AND(Sheet1[[#This Row],[Attendance ]]&gt;65,Sheet1[[#This Row],[Attendance ]]&lt;75),"Yes","No")</f>
        <v>No</v>
      </c>
      <c r="J887" t="str">
        <f>IF(Sheet1[[#This Row],[Attendance ]]&lt;65,"Yes","No")</f>
        <v>No</v>
      </c>
    </row>
    <row r="888" spans="1:12" hidden="1" x14ac:dyDescent="0.35">
      <c r="A888" t="s">
        <v>929</v>
      </c>
      <c r="B888" t="s">
        <v>70</v>
      </c>
      <c r="C888" t="s">
        <v>13</v>
      </c>
      <c r="D888">
        <v>88.31</v>
      </c>
      <c r="E888" t="s">
        <v>5</v>
      </c>
      <c r="F888">
        <v>8.6999999999999993</v>
      </c>
      <c r="G888" t="s">
        <v>26</v>
      </c>
      <c r="H888" t="str">
        <f t="shared" si="79"/>
        <v>Passed</v>
      </c>
      <c r="I888" t="str">
        <f>IF(AND(Sheet1[[#This Row],[Attendance ]]&gt;65,Sheet1[[#This Row],[Attendance ]]&lt;75),"Yes","No")</f>
        <v>No</v>
      </c>
      <c r="J888" t="str">
        <f>IF(Sheet1[[#This Row],[Attendance ]]&lt;65,"Yes","No")</f>
        <v>No</v>
      </c>
    </row>
    <row r="889" spans="1:12" hidden="1" x14ac:dyDescent="0.35">
      <c r="A889" t="s">
        <v>930</v>
      </c>
      <c r="B889" t="s">
        <v>37</v>
      </c>
      <c r="C889" t="s">
        <v>4</v>
      </c>
      <c r="D889">
        <v>84.37</v>
      </c>
      <c r="E889" t="s">
        <v>5</v>
      </c>
      <c r="F889">
        <v>8.5299999999999994</v>
      </c>
      <c r="G889" t="s">
        <v>28</v>
      </c>
      <c r="H889" t="str">
        <f t="shared" si="79"/>
        <v>Passed</v>
      </c>
      <c r="I889" t="str">
        <f>IF(AND(Sheet1[[#This Row],[Attendance ]]&gt;65,Sheet1[[#This Row],[Attendance ]]&lt;75),"Yes","No")</f>
        <v>No</v>
      </c>
      <c r="J889" t="str">
        <f>IF(Sheet1[[#This Row],[Attendance ]]&lt;65,"Yes","No")</f>
        <v>No</v>
      </c>
    </row>
    <row r="890" spans="1:12" hidden="1" x14ac:dyDescent="0.35">
      <c r="A890" t="s">
        <v>931</v>
      </c>
      <c r="B890" t="s">
        <v>8</v>
      </c>
      <c r="C890" t="s">
        <v>23</v>
      </c>
      <c r="D890">
        <v>95.44</v>
      </c>
      <c r="E890" t="s">
        <v>5</v>
      </c>
      <c r="F890">
        <v>5.72</v>
      </c>
      <c r="G890" t="s">
        <v>28</v>
      </c>
      <c r="H890" t="str">
        <f t="shared" si="79"/>
        <v>Passed</v>
      </c>
      <c r="I890" t="str">
        <f>IF(AND(Sheet1[[#This Row],[Attendance ]]&gt;65,Sheet1[[#This Row],[Attendance ]]&lt;75),"Yes","No")</f>
        <v>No</v>
      </c>
      <c r="J890" t="str">
        <f>IF(Sheet1[[#This Row],[Attendance ]]&lt;65,"Yes","No")</f>
        <v>No</v>
      </c>
    </row>
    <row r="891" spans="1:12" x14ac:dyDescent="0.35">
      <c r="A891" t="s">
        <v>932</v>
      </c>
      <c r="B891" t="s">
        <v>39</v>
      </c>
      <c r="C891" t="s">
        <v>20</v>
      </c>
      <c r="D891">
        <v>68.23</v>
      </c>
      <c r="E891" t="s">
        <v>10</v>
      </c>
      <c r="F891">
        <v>5.98</v>
      </c>
      <c r="G891" t="s">
        <v>11</v>
      </c>
      <c r="H891" t="str">
        <f t="shared" si="79"/>
        <v>M1</v>
      </c>
      <c r="I891" t="str">
        <f>IF(AND(Sheet1[[#This Row],[Attendance ]]&gt;65,Sheet1[[#This Row],[Attendance ]]&lt;75),"Yes","No")</f>
        <v>Yes</v>
      </c>
      <c r="J891" t="str">
        <f>IF(Sheet1[[#This Row],[Attendance ]]&lt;65,"Yes","No")</f>
        <v>No</v>
      </c>
      <c r="K891" t="str">
        <f t="shared" ref="K891:K893" si="88">CHOOSE(MOD(ROW()-2,8)+1,
"Kadapa",
"Ananthapur",
"Rayachoti",
"Nellore",
"Chittoor",
"Madanapalli",
"Rajampeta",
"Tirupati")</f>
        <v>Ananthapur</v>
      </c>
      <c r="L891" t="str">
        <f t="shared" ref="L891:L893" si="89">IF(AND(G889="4th Year",E889="Pass",F889&gt;=7),"Yes","No")</f>
        <v>No</v>
      </c>
    </row>
    <row r="892" spans="1:12" x14ac:dyDescent="0.35">
      <c r="A892" t="s">
        <v>933</v>
      </c>
      <c r="B892" t="s">
        <v>34</v>
      </c>
      <c r="C892" t="s">
        <v>9</v>
      </c>
      <c r="D892">
        <v>73.239999999999995</v>
      </c>
      <c r="E892" t="s">
        <v>5</v>
      </c>
      <c r="F892">
        <v>8.77</v>
      </c>
      <c r="G892" t="s">
        <v>28</v>
      </c>
      <c r="H892" t="str">
        <f t="shared" si="79"/>
        <v>Passed</v>
      </c>
      <c r="I892" t="str">
        <f>IF(AND(Sheet1[[#This Row],[Attendance ]]&gt;65,Sheet1[[#This Row],[Attendance ]]&lt;75),"Yes","No")</f>
        <v>Yes</v>
      </c>
      <c r="J892" t="str">
        <f>IF(Sheet1[[#This Row],[Attendance ]]&lt;65,"Yes","No")</f>
        <v>No</v>
      </c>
      <c r="K892" t="str">
        <f t="shared" si="88"/>
        <v>Rayachoti</v>
      </c>
      <c r="L892" t="str">
        <f t="shared" si="89"/>
        <v>No</v>
      </c>
    </row>
    <row r="893" spans="1:12" x14ac:dyDescent="0.35">
      <c r="A893" t="s">
        <v>934</v>
      </c>
      <c r="B893" t="s">
        <v>25</v>
      </c>
      <c r="C893" t="s">
        <v>35</v>
      </c>
      <c r="D893">
        <v>72.040000000000006</v>
      </c>
      <c r="E893" t="s">
        <v>5</v>
      </c>
      <c r="F893">
        <v>6.29</v>
      </c>
      <c r="G893" t="s">
        <v>26</v>
      </c>
      <c r="H893" t="str">
        <f t="shared" si="79"/>
        <v>Passed</v>
      </c>
      <c r="I893" t="str">
        <f>IF(AND(Sheet1[[#This Row],[Attendance ]]&gt;65,Sheet1[[#This Row],[Attendance ]]&lt;75),"Yes","No")</f>
        <v>Yes</v>
      </c>
      <c r="J893" t="str">
        <f>IF(Sheet1[[#This Row],[Attendance ]]&lt;65,"Yes","No")</f>
        <v>No</v>
      </c>
      <c r="K893" t="str">
        <f t="shared" si="88"/>
        <v>Nellore</v>
      </c>
      <c r="L893" t="str">
        <f t="shared" si="89"/>
        <v>No</v>
      </c>
    </row>
    <row r="894" spans="1:12" hidden="1" x14ac:dyDescent="0.35">
      <c r="A894" t="s">
        <v>935</v>
      </c>
      <c r="B894" t="s">
        <v>32</v>
      </c>
      <c r="C894" t="s">
        <v>13</v>
      </c>
      <c r="D894">
        <v>61.57</v>
      </c>
      <c r="E894" t="s">
        <v>5</v>
      </c>
      <c r="F894">
        <v>5.82</v>
      </c>
      <c r="G894" t="s">
        <v>6</v>
      </c>
      <c r="H894" t="str">
        <f t="shared" si="79"/>
        <v>Passed</v>
      </c>
      <c r="I894" t="str">
        <f>IF(AND(Sheet1[[#This Row],[Attendance ]]&gt;65,Sheet1[[#This Row],[Attendance ]]&lt;75),"Yes","No")</f>
        <v>No</v>
      </c>
      <c r="J894" t="str">
        <f>IF(Sheet1[[#This Row],[Attendance ]]&lt;65,"Yes","No")</f>
        <v>Yes</v>
      </c>
    </row>
    <row r="895" spans="1:12" hidden="1" x14ac:dyDescent="0.35">
      <c r="A895" t="s">
        <v>936</v>
      </c>
      <c r="B895" t="s">
        <v>12</v>
      </c>
      <c r="C895" t="s">
        <v>13</v>
      </c>
      <c r="D895">
        <v>95.76</v>
      </c>
      <c r="E895" t="s">
        <v>5</v>
      </c>
      <c r="F895">
        <v>8.64</v>
      </c>
      <c r="G895" t="s">
        <v>26</v>
      </c>
      <c r="H895" t="str">
        <f t="shared" si="79"/>
        <v>Passed</v>
      </c>
      <c r="I895" t="str">
        <f>IF(AND(Sheet1[[#This Row],[Attendance ]]&gt;65,Sheet1[[#This Row],[Attendance ]]&lt;75),"Yes","No")</f>
        <v>No</v>
      </c>
      <c r="J895" t="str">
        <f>IF(Sheet1[[#This Row],[Attendance ]]&lt;65,"Yes","No")</f>
        <v>No</v>
      </c>
    </row>
    <row r="896" spans="1:12" hidden="1" x14ac:dyDescent="0.35">
      <c r="A896" t="s">
        <v>937</v>
      </c>
      <c r="B896" t="s">
        <v>149</v>
      </c>
      <c r="C896" t="s">
        <v>23</v>
      </c>
      <c r="D896">
        <v>90.49</v>
      </c>
      <c r="E896" t="s">
        <v>5</v>
      </c>
      <c r="F896">
        <v>9.18</v>
      </c>
      <c r="G896" t="s">
        <v>11</v>
      </c>
      <c r="H896" t="str">
        <f t="shared" si="79"/>
        <v>Passed</v>
      </c>
      <c r="I896" t="str">
        <f>IF(AND(Sheet1[[#This Row],[Attendance ]]&gt;65,Sheet1[[#This Row],[Attendance ]]&lt;75),"Yes","No")</f>
        <v>No</v>
      </c>
      <c r="J896" t="str">
        <f>IF(Sheet1[[#This Row],[Attendance ]]&lt;65,"Yes","No")</f>
        <v>No</v>
      </c>
    </row>
    <row r="897" spans="1:12" hidden="1" x14ac:dyDescent="0.35">
      <c r="A897" t="s">
        <v>938</v>
      </c>
      <c r="B897" t="s">
        <v>116</v>
      </c>
      <c r="C897" t="s">
        <v>35</v>
      </c>
      <c r="D897">
        <v>99.53</v>
      </c>
      <c r="E897" t="s">
        <v>5</v>
      </c>
      <c r="F897">
        <v>8.3699999999999992</v>
      </c>
      <c r="G897" t="s">
        <v>6</v>
      </c>
      <c r="H897" t="str">
        <f t="shared" si="79"/>
        <v>Passed</v>
      </c>
      <c r="I897" t="str">
        <f>IF(AND(Sheet1[[#This Row],[Attendance ]]&gt;65,Sheet1[[#This Row],[Attendance ]]&lt;75),"Yes","No")</f>
        <v>No</v>
      </c>
      <c r="J897" t="str">
        <f>IF(Sheet1[[#This Row],[Attendance ]]&lt;65,"Yes","No")</f>
        <v>No</v>
      </c>
    </row>
    <row r="898" spans="1:12" hidden="1" x14ac:dyDescent="0.35">
      <c r="A898" t="s">
        <v>939</v>
      </c>
      <c r="B898" t="s">
        <v>34</v>
      </c>
      <c r="C898" t="s">
        <v>13</v>
      </c>
      <c r="D898">
        <v>62.66</v>
      </c>
      <c r="E898" t="s">
        <v>5</v>
      </c>
      <c r="F898">
        <v>6.81</v>
      </c>
      <c r="G898" t="s">
        <v>28</v>
      </c>
      <c r="H898" t="str">
        <f t="shared" ref="H898:H961" si="90">IF(E898="Pass","Passed",
IF(G898="1st Year","M1",
IF(G898="2nd Year","DBMS",
IF(G898="3rd Year","Machine Learning",
IF(G898="4th Year","Deep Learning","")))))</f>
        <v>Passed</v>
      </c>
      <c r="I898" t="str">
        <f>IF(AND(Sheet1[[#This Row],[Attendance ]]&gt;65,Sheet1[[#This Row],[Attendance ]]&lt;75),"Yes","No")</f>
        <v>No</v>
      </c>
      <c r="J898" t="str">
        <f>IF(Sheet1[[#This Row],[Attendance ]]&lt;65,"Yes","No")</f>
        <v>Yes</v>
      </c>
    </row>
    <row r="899" spans="1:12" hidden="1" x14ac:dyDescent="0.35">
      <c r="A899" t="s">
        <v>940</v>
      </c>
      <c r="B899" t="s">
        <v>70</v>
      </c>
      <c r="C899" t="s">
        <v>4</v>
      </c>
      <c r="D899">
        <v>99.72</v>
      </c>
      <c r="E899" t="s">
        <v>5</v>
      </c>
      <c r="F899">
        <v>7.36</v>
      </c>
      <c r="G899" t="s">
        <v>28</v>
      </c>
      <c r="H899" t="str">
        <f t="shared" si="90"/>
        <v>Passed</v>
      </c>
      <c r="I899" t="str">
        <f>IF(AND(Sheet1[[#This Row],[Attendance ]]&gt;65,Sheet1[[#This Row],[Attendance ]]&lt;75),"Yes","No")</f>
        <v>No</v>
      </c>
      <c r="J899" t="str">
        <f>IF(Sheet1[[#This Row],[Attendance ]]&lt;65,"Yes","No")</f>
        <v>No</v>
      </c>
    </row>
    <row r="900" spans="1:12" hidden="1" x14ac:dyDescent="0.35">
      <c r="A900" t="s">
        <v>941</v>
      </c>
      <c r="B900" t="s">
        <v>8</v>
      </c>
      <c r="C900" t="s">
        <v>4</v>
      </c>
      <c r="D900">
        <v>89.01</v>
      </c>
      <c r="E900" t="s">
        <v>5</v>
      </c>
      <c r="F900">
        <v>5.37</v>
      </c>
      <c r="G900" t="s">
        <v>11</v>
      </c>
      <c r="H900" t="str">
        <f t="shared" si="90"/>
        <v>Passed</v>
      </c>
      <c r="I900" t="str">
        <f>IF(AND(Sheet1[[#This Row],[Attendance ]]&gt;65,Sheet1[[#This Row],[Attendance ]]&lt;75),"Yes","No")</f>
        <v>No</v>
      </c>
      <c r="J900" t="str">
        <f>IF(Sheet1[[#This Row],[Attendance ]]&lt;65,"Yes","No")</f>
        <v>No</v>
      </c>
    </row>
    <row r="901" spans="1:12" hidden="1" x14ac:dyDescent="0.35">
      <c r="A901" t="s">
        <v>942</v>
      </c>
      <c r="B901" t="s">
        <v>58</v>
      </c>
      <c r="C901" t="s">
        <v>4</v>
      </c>
      <c r="D901">
        <v>88.93</v>
      </c>
      <c r="E901" t="s">
        <v>5</v>
      </c>
      <c r="F901">
        <v>7.36</v>
      </c>
      <c r="G901" t="s">
        <v>28</v>
      </c>
      <c r="H901" t="str">
        <f t="shared" si="90"/>
        <v>Passed</v>
      </c>
      <c r="I901" t="str">
        <f>IF(AND(Sheet1[[#This Row],[Attendance ]]&gt;65,Sheet1[[#This Row],[Attendance ]]&lt;75),"Yes","No")</f>
        <v>No</v>
      </c>
      <c r="J901" t="str">
        <f>IF(Sheet1[[#This Row],[Attendance ]]&lt;65,"Yes","No")</f>
        <v>No</v>
      </c>
    </row>
    <row r="902" spans="1:12" hidden="1" x14ac:dyDescent="0.35">
      <c r="A902" t="s">
        <v>943</v>
      </c>
      <c r="B902" t="s">
        <v>15</v>
      </c>
      <c r="C902" t="s">
        <v>9</v>
      </c>
      <c r="D902">
        <v>78.62</v>
      </c>
      <c r="E902" t="s">
        <v>5</v>
      </c>
      <c r="F902">
        <v>8.4499999999999993</v>
      </c>
      <c r="G902" t="s">
        <v>6</v>
      </c>
      <c r="H902" t="str">
        <f t="shared" si="90"/>
        <v>Passed</v>
      </c>
      <c r="I902" t="str">
        <f>IF(AND(Sheet1[[#This Row],[Attendance ]]&gt;65,Sheet1[[#This Row],[Attendance ]]&lt;75),"Yes","No")</f>
        <v>No</v>
      </c>
      <c r="J902" t="str">
        <f>IF(Sheet1[[#This Row],[Attendance ]]&lt;65,"Yes","No")</f>
        <v>No</v>
      </c>
    </row>
    <row r="903" spans="1:12" hidden="1" x14ac:dyDescent="0.35">
      <c r="A903" t="s">
        <v>944</v>
      </c>
      <c r="B903" t="s">
        <v>32</v>
      </c>
      <c r="C903" t="s">
        <v>23</v>
      </c>
      <c r="D903">
        <v>77.91</v>
      </c>
      <c r="E903" t="s">
        <v>5</v>
      </c>
      <c r="F903">
        <v>8.32</v>
      </c>
      <c r="G903" t="s">
        <v>11</v>
      </c>
      <c r="H903" t="str">
        <f t="shared" si="90"/>
        <v>Passed</v>
      </c>
      <c r="I903" t="str">
        <f>IF(AND(Sheet1[[#This Row],[Attendance ]]&gt;65,Sheet1[[#This Row],[Attendance ]]&lt;75),"Yes","No")</f>
        <v>No</v>
      </c>
      <c r="J903" t="str">
        <f>IF(Sheet1[[#This Row],[Attendance ]]&lt;65,"Yes","No")</f>
        <v>No</v>
      </c>
    </row>
    <row r="904" spans="1:12" hidden="1" x14ac:dyDescent="0.35">
      <c r="A904" t="s">
        <v>945</v>
      </c>
      <c r="B904" t="s">
        <v>15</v>
      </c>
      <c r="C904" t="s">
        <v>9</v>
      </c>
      <c r="D904">
        <v>62.23</v>
      </c>
      <c r="E904" t="s">
        <v>5</v>
      </c>
      <c r="F904">
        <v>5.32</v>
      </c>
      <c r="G904" t="s">
        <v>11</v>
      </c>
      <c r="H904" t="str">
        <f t="shared" si="90"/>
        <v>Passed</v>
      </c>
      <c r="I904" t="str">
        <f>IF(AND(Sheet1[[#This Row],[Attendance ]]&gt;65,Sheet1[[#This Row],[Attendance ]]&lt;75),"Yes","No")</f>
        <v>No</v>
      </c>
      <c r="J904" t="str">
        <f>IF(Sheet1[[#This Row],[Attendance ]]&lt;65,"Yes","No")</f>
        <v>Yes</v>
      </c>
    </row>
    <row r="905" spans="1:12" hidden="1" x14ac:dyDescent="0.35">
      <c r="A905" t="s">
        <v>946</v>
      </c>
      <c r="B905" t="s">
        <v>25</v>
      </c>
      <c r="C905" t="s">
        <v>9</v>
      </c>
      <c r="D905">
        <v>78.13</v>
      </c>
      <c r="E905" t="s">
        <v>10</v>
      </c>
      <c r="F905">
        <v>7.51</v>
      </c>
      <c r="G905" t="s">
        <v>6</v>
      </c>
      <c r="H905" t="str">
        <f t="shared" si="90"/>
        <v>DBMS</v>
      </c>
      <c r="I905" t="str">
        <f>IF(AND(Sheet1[[#This Row],[Attendance ]]&gt;65,Sheet1[[#This Row],[Attendance ]]&lt;75),"Yes","No")</f>
        <v>No</v>
      </c>
      <c r="J905" t="str">
        <f>IF(Sheet1[[#This Row],[Attendance ]]&lt;65,"Yes","No")</f>
        <v>No</v>
      </c>
    </row>
    <row r="906" spans="1:12" hidden="1" x14ac:dyDescent="0.35">
      <c r="A906" t="s">
        <v>947</v>
      </c>
      <c r="B906" t="s">
        <v>77</v>
      </c>
      <c r="C906" t="s">
        <v>13</v>
      </c>
      <c r="D906">
        <v>75.17</v>
      </c>
      <c r="E906" t="s">
        <v>5</v>
      </c>
      <c r="F906">
        <v>8.3000000000000007</v>
      </c>
      <c r="G906" t="s">
        <v>11</v>
      </c>
      <c r="H906" t="str">
        <f t="shared" si="90"/>
        <v>Passed</v>
      </c>
      <c r="I906" t="str">
        <f>IF(AND(Sheet1[[#This Row],[Attendance ]]&gt;65,Sheet1[[#This Row],[Attendance ]]&lt;75),"Yes","No")</f>
        <v>No</v>
      </c>
      <c r="J906" t="str">
        <f>IF(Sheet1[[#This Row],[Attendance ]]&lt;65,"Yes","No")</f>
        <v>No</v>
      </c>
    </row>
    <row r="907" spans="1:12" hidden="1" x14ac:dyDescent="0.35">
      <c r="A907" t="s">
        <v>948</v>
      </c>
      <c r="B907" t="s">
        <v>107</v>
      </c>
      <c r="C907" t="s">
        <v>13</v>
      </c>
      <c r="D907">
        <v>80.39</v>
      </c>
      <c r="E907" t="s">
        <v>5</v>
      </c>
      <c r="F907">
        <v>5.78</v>
      </c>
      <c r="G907" t="s">
        <v>6</v>
      </c>
      <c r="H907" t="str">
        <f t="shared" si="90"/>
        <v>Passed</v>
      </c>
      <c r="I907" t="str">
        <f>IF(AND(Sheet1[[#This Row],[Attendance ]]&gt;65,Sheet1[[#This Row],[Attendance ]]&lt;75),"Yes","No")</f>
        <v>No</v>
      </c>
      <c r="J907" t="str">
        <f>IF(Sheet1[[#This Row],[Attendance ]]&lt;65,"Yes","No")</f>
        <v>No</v>
      </c>
    </row>
    <row r="908" spans="1:12" hidden="1" x14ac:dyDescent="0.35">
      <c r="A908" t="s">
        <v>949</v>
      </c>
      <c r="B908" t="s">
        <v>12</v>
      </c>
      <c r="C908" t="s">
        <v>13</v>
      </c>
      <c r="D908">
        <v>99.89</v>
      </c>
      <c r="E908" t="s">
        <v>5</v>
      </c>
      <c r="F908">
        <v>6.64</v>
      </c>
      <c r="G908" t="s">
        <v>26</v>
      </c>
      <c r="H908" t="str">
        <f t="shared" si="90"/>
        <v>Passed</v>
      </c>
      <c r="I908" t="str">
        <f>IF(AND(Sheet1[[#This Row],[Attendance ]]&gt;65,Sheet1[[#This Row],[Attendance ]]&lt;75),"Yes","No")</f>
        <v>No</v>
      </c>
      <c r="J908" t="str">
        <f>IF(Sheet1[[#This Row],[Attendance ]]&lt;65,"Yes","No")</f>
        <v>No</v>
      </c>
    </row>
    <row r="909" spans="1:12" x14ac:dyDescent="0.35">
      <c r="A909" t="s">
        <v>950</v>
      </c>
      <c r="B909" t="s">
        <v>107</v>
      </c>
      <c r="C909" t="s">
        <v>23</v>
      </c>
      <c r="D909">
        <v>73.260000000000005</v>
      </c>
      <c r="E909" t="s">
        <v>5</v>
      </c>
      <c r="F909">
        <v>6.67</v>
      </c>
      <c r="G909" t="s">
        <v>6</v>
      </c>
      <c r="H909" t="str">
        <f t="shared" si="90"/>
        <v>Passed</v>
      </c>
      <c r="I909" t="str">
        <f>IF(AND(Sheet1[[#This Row],[Attendance ]]&gt;65,Sheet1[[#This Row],[Attendance ]]&lt;75),"Yes","No")</f>
        <v>Yes</v>
      </c>
      <c r="J909" t="str">
        <f>IF(Sheet1[[#This Row],[Attendance ]]&lt;65,"Yes","No")</f>
        <v>No</v>
      </c>
      <c r="K909" t="str">
        <f t="shared" ref="K909:K911" si="91">CHOOSE(MOD(ROW()-2,8)+1,
"Kadapa",
"Ananthapur",
"Rayachoti",
"Nellore",
"Chittoor",
"Madanapalli",
"Rajampeta",
"Tirupati")</f>
        <v>Nellore</v>
      </c>
      <c r="L909" t="str">
        <f t="shared" ref="L909:L911" si="92">IF(AND(G907="4th Year",E907="Pass",F907&gt;=7),"Yes","No")</f>
        <v>No</v>
      </c>
    </row>
    <row r="910" spans="1:12" x14ac:dyDescent="0.35">
      <c r="A910" t="s">
        <v>951</v>
      </c>
      <c r="B910" t="s">
        <v>34</v>
      </c>
      <c r="C910" t="s">
        <v>13</v>
      </c>
      <c r="D910">
        <v>70.92</v>
      </c>
      <c r="E910" t="s">
        <v>5</v>
      </c>
      <c r="F910">
        <v>9.32</v>
      </c>
      <c r="G910" t="s">
        <v>26</v>
      </c>
      <c r="H910" t="str">
        <f t="shared" si="90"/>
        <v>Passed</v>
      </c>
      <c r="I910" t="str">
        <f>IF(AND(Sheet1[[#This Row],[Attendance ]]&gt;65,Sheet1[[#This Row],[Attendance ]]&lt;75),"Yes","No")</f>
        <v>Yes</v>
      </c>
      <c r="J910" t="str">
        <f>IF(Sheet1[[#This Row],[Attendance ]]&lt;65,"Yes","No")</f>
        <v>No</v>
      </c>
      <c r="K910" t="str">
        <f t="shared" si="91"/>
        <v>Chittoor</v>
      </c>
      <c r="L910" t="str">
        <f t="shared" si="92"/>
        <v>No</v>
      </c>
    </row>
    <row r="911" spans="1:12" x14ac:dyDescent="0.35">
      <c r="A911" t="s">
        <v>952</v>
      </c>
      <c r="B911" t="s">
        <v>39</v>
      </c>
      <c r="C911" t="s">
        <v>9</v>
      </c>
      <c r="D911">
        <v>73.28</v>
      </c>
      <c r="E911" t="s">
        <v>5</v>
      </c>
      <c r="F911">
        <v>9.49</v>
      </c>
      <c r="G911" t="s">
        <v>11</v>
      </c>
      <c r="H911" t="str">
        <f t="shared" si="90"/>
        <v>Passed</v>
      </c>
      <c r="I911" t="str">
        <f>IF(AND(Sheet1[[#This Row],[Attendance ]]&gt;65,Sheet1[[#This Row],[Attendance ]]&lt;75),"Yes","No")</f>
        <v>Yes</v>
      </c>
      <c r="J911" t="str">
        <f>IF(Sheet1[[#This Row],[Attendance ]]&lt;65,"Yes","No")</f>
        <v>No</v>
      </c>
      <c r="K911" t="str">
        <f t="shared" si="91"/>
        <v>Madanapalli</v>
      </c>
      <c r="L911" t="str">
        <f t="shared" si="92"/>
        <v>No</v>
      </c>
    </row>
    <row r="912" spans="1:12" hidden="1" x14ac:dyDescent="0.35">
      <c r="A912" t="s">
        <v>953</v>
      </c>
      <c r="B912" t="s">
        <v>39</v>
      </c>
      <c r="C912" t="s">
        <v>9</v>
      </c>
      <c r="D912">
        <v>62.7</v>
      </c>
      <c r="E912" t="s">
        <v>5</v>
      </c>
      <c r="F912">
        <v>9.1300000000000008</v>
      </c>
      <c r="G912" t="s">
        <v>11</v>
      </c>
      <c r="H912" t="str">
        <f t="shared" si="90"/>
        <v>Passed</v>
      </c>
      <c r="I912" t="str">
        <f>IF(AND(Sheet1[[#This Row],[Attendance ]]&gt;65,Sheet1[[#This Row],[Attendance ]]&lt;75),"Yes","No")</f>
        <v>No</v>
      </c>
      <c r="J912" t="str">
        <f>IF(Sheet1[[#This Row],[Attendance ]]&lt;65,"Yes","No")</f>
        <v>Yes</v>
      </c>
    </row>
    <row r="913" spans="1:12" hidden="1" x14ac:dyDescent="0.35">
      <c r="A913" t="s">
        <v>954</v>
      </c>
      <c r="B913" t="s">
        <v>37</v>
      </c>
      <c r="C913" t="s">
        <v>13</v>
      </c>
      <c r="D913">
        <v>96.37</v>
      </c>
      <c r="E913" t="s">
        <v>5</v>
      </c>
      <c r="F913">
        <v>5.17</v>
      </c>
      <c r="G913" t="s">
        <v>28</v>
      </c>
      <c r="H913" t="str">
        <f t="shared" si="90"/>
        <v>Passed</v>
      </c>
      <c r="I913" t="str">
        <f>IF(AND(Sheet1[[#This Row],[Attendance ]]&gt;65,Sheet1[[#This Row],[Attendance ]]&lt;75),"Yes","No")</f>
        <v>No</v>
      </c>
      <c r="J913" t="str">
        <f>IF(Sheet1[[#This Row],[Attendance ]]&lt;65,"Yes","No")</f>
        <v>No</v>
      </c>
    </row>
    <row r="914" spans="1:12" hidden="1" x14ac:dyDescent="0.35">
      <c r="A914" t="s">
        <v>955</v>
      </c>
      <c r="B914" t="s">
        <v>149</v>
      </c>
      <c r="C914" t="s">
        <v>20</v>
      </c>
      <c r="D914">
        <v>91.21</v>
      </c>
      <c r="E914" t="s">
        <v>5</v>
      </c>
      <c r="F914">
        <v>7.6</v>
      </c>
      <c r="G914" t="s">
        <v>28</v>
      </c>
      <c r="H914" t="str">
        <f t="shared" si="90"/>
        <v>Passed</v>
      </c>
      <c r="I914" t="str">
        <f>IF(AND(Sheet1[[#This Row],[Attendance ]]&gt;65,Sheet1[[#This Row],[Attendance ]]&lt;75),"Yes","No")</f>
        <v>No</v>
      </c>
      <c r="J914" t="str">
        <f>IF(Sheet1[[#This Row],[Attendance ]]&lt;65,"Yes","No")</f>
        <v>No</v>
      </c>
    </row>
    <row r="915" spans="1:12" hidden="1" x14ac:dyDescent="0.35">
      <c r="A915" t="s">
        <v>956</v>
      </c>
      <c r="B915" t="s">
        <v>3</v>
      </c>
      <c r="C915" t="s">
        <v>20</v>
      </c>
      <c r="D915">
        <v>85.14</v>
      </c>
      <c r="E915" t="s">
        <v>10</v>
      </c>
      <c r="F915">
        <v>5.5</v>
      </c>
      <c r="G915" t="s">
        <v>6</v>
      </c>
      <c r="H915" t="str">
        <f t="shared" si="90"/>
        <v>DBMS</v>
      </c>
      <c r="I915" t="str">
        <f>IF(AND(Sheet1[[#This Row],[Attendance ]]&gt;65,Sheet1[[#This Row],[Attendance ]]&lt;75),"Yes","No")</f>
        <v>No</v>
      </c>
      <c r="J915" t="str">
        <f>IF(Sheet1[[#This Row],[Attendance ]]&lt;65,"Yes","No")</f>
        <v>No</v>
      </c>
    </row>
    <row r="916" spans="1:12" hidden="1" x14ac:dyDescent="0.35">
      <c r="A916" t="s">
        <v>957</v>
      </c>
      <c r="B916" t="s">
        <v>164</v>
      </c>
      <c r="C916" t="s">
        <v>13</v>
      </c>
      <c r="D916">
        <v>62.1</v>
      </c>
      <c r="E916" t="s">
        <v>5</v>
      </c>
      <c r="F916">
        <v>5.54</v>
      </c>
      <c r="G916" t="s">
        <v>6</v>
      </c>
      <c r="H916" t="str">
        <f t="shared" si="90"/>
        <v>Passed</v>
      </c>
      <c r="I916" t="str">
        <f>IF(AND(Sheet1[[#This Row],[Attendance ]]&gt;65,Sheet1[[#This Row],[Attendance ]]&lt;75),"Yes","No")</f>
        <v>No</v>
      </c>
      <c r="J916" t="str">
        <f>IF(Sheet1[[#This Row],[Attendance ]]&lt;65,"Yes","No")</f>
        <v>Yes</v>
      </c>
    </row>
    <row r="917" spans="1:12" x14ac:dyDescent="0.35">
      <c r="A917" t="s">
        <v>958</v>
      </c>
      <c r="B917" t="s">
        <v>98</v>
      </c>
      <c r="C917" t="s">
        <v>9</v>
      </c>
      <c r="D917">
        <v>65.7</v>
      </c>
      <c r="E917" t="s">
        <v>5</v>
      </c>
      <c r="F917">
        <v>7.17</v>
      </c>
      <c r="G917" t="s">
        <v>11</v>
      </c>
      <c r="H917" t="str">
        <f t="shared" si="90"/>
        <v>Passed</v>
      </c>
      <c r="I917" t="str">
        <f>IF(AND(Sheet1[[#This Row],[Attendance ]]&gt;65,Sheet1[[#This Row],[Attendance ]]&lt;75),"Yes","No")</f>
        <v>Yes</v>
      </c>
      <c r="J917" t="str">
        <f>IF(Sheet1[[#This Row],[Attendance ]]&lt;65,"Yes","No")</f>
        <v>No</v>
      </c>
      <c r="K917" t="str">
        <f t="shared" ref="K917:K918" si="93">CHOOSE(MOD(ROW()-2,8)+1,
"Kadapa",
"Ananthapur",
"Rayachoti",
"Nellore",
"Chittoor",
"Madanapalli",
"Rajampeta",
"Tirupati")</f>
        <v>Nellore</v>
      </c>
      <c r="L917" t="str">
        <f t="shared" ref="L917:L918" si="94">IF(AND(G915="4th Year",E915="Pass",F915&gt;=7),"Yes","No")</f>
        <v>No</v>
      </c>
    </row>
    <row r="918" spans="1:12" x14ac:dyDescent="0.35">
      <c r="A918" t="s">
        <v>959</v>
      </c>
      <c r="B918" t="s">
        <v>88</v>
      </c>
      <c r="C918" t="s">
        <v>13</v>
      </c>
      <c r="D918">
        <v>65.290000000000006</v>
      </c>
      <c r="E918" t="s">
        <v>5</v>
      </c>
      <c r="F918">
        <v>9.52</v>
      </c>
      <c r="G918" t="s">
        <v>11</v>
      </c>
      <c r="H918" t="str">
        <f t="shared" si="90"/>
        <v>Passed</v>
      </c>
      <c r="I918" t="str">
        <f>IF(AND(Sheet1[[#This Row],[Attendance ]]&gt;65,Sheet1[[#This Row],[Attendance ]]&lt;75),"Yes","No")</f>
        <v>Yes</v>
      </c>
      <c r="J918" t="str">
        <f>IF(Sheet1[[#This Row],[Attendance ]]&lt;65,"Yes","No")</f>
        <v>No</v>
      </c>
      <c r="K918" t="str">
        <f t="shared" si="93"/>
        <v>Chittoor</v>
      </c>
      <c r="L918" t="str">
        <f t="shared" si="94"/>
        <v>No</v>
      </c>
    </row>
    <row r="919" spans="1:12" hidden="1" x14ac:dyDescent="0.35">
      <c r="A919" t="s">
        <v>960</v>
      </c>
      <c r="B919" t="s">
        <v>25</v>
      </c>
      <c r="C919" t="s">
        <v>9</v>
      </c>
      <c r="D919">
        <v>63.1</v>
      </c>
      <c r="E919" t="s">
        <v>5</v>
      </c>
      <c r="F919">
        <v>7.3</v>
      </c>
      <c r="G919" t="s">
        <v>26</v>
      </c>
      <c r="H919" t="str">
        <f t="shared" si="90"/>
        <v>Passed</v>
      </c>
      <c r="I919" t="str">
        <f>IF(AND(Sheet1[[#This Row],[Attendance ]]&gt;65,Sheet1[[#This Row],[Attendance ]]&lt;75),"Yes","No")</f>
        <v>No</v>
      </c>
      <c r="J919" t="str">
        <f>IF(Sheet1[[#This Row],[Attendance ]]&lt;65,"Yes","No")</f>
        <v>Yes</v>
      </c>
    </row>
    <row r="920" spans="1:12" hidden="1" x14ac:dyDescent="0.35">
      <c r="A920" t="s">
        <v>961</v>
      </c>
      <c r="B920" t="s">
        <v>98</v>
      </c>
      <c r="C920" t="s">
        <v>23</v>
      </c>
      <c r="D920">
        <v>91.88</v>
      </c>
      <c r="E920" t="s">
        <v>5</v>
      </c>
      <c r="F920">
        <v>9.34</v>
      </c>
      <c r="G920" t="s">
        <v>11</v>
      </c>
      <c r="H920" t="str">
        <f t="shared" si="90"/>
        <v>Passed</v>
      </c>
      <c r="I920" t="str">
        <f>IF(AND(Sheet1[[#This Row],[Attendance ]]&gt;65,Sheet1[[#This Row],[Attendance ]]&lt;75),"Yes","No")</f>
        <v>No</v>
      </c>
      <c r="J920" t="str">
        <f>IF(Sheet1[[#This Row],[Attendance ]]&lt;65,"Yes","No")</f>
        <v>No</v>
      </c>
    </row>
    <row r="921" spans="1:12" hidden="1" x14ac:dyDescent="0.35">
      <c r="A921" t="s">
        <v>962</v>
      </c>
      <c r="B921" t="s">
        <v>39</v>
      </c>
      <c r="C921" t="s">
        <v>13</v>
      </c>
      <c r="D921">
        <v>75.37</v>
      </c>
      <c r="E921" t="s">
        <v>5</v>
      </c>
      <c r="F921">
        <v>6.21</v>
      </c>
      <c r="G921" t="s">
        <v>28</v>
      </c>
      <c r="H921" t="str">
        <f t="shared" si="90"/>
        <v>Passed</v>
      </c>
      <c r="I921" t="str">
        <f>IF(AND(Sheet1[[#This Row],[Attendance ]]&gt;65,Sheet1[[#This Row],[Attendance ]]&lt;75),"Yes","No")</f>
        <v>No</v>
      </c>
      <c r="J921" t="str">
        <f>IF(Sheet1[[#This Row],[Attendance ]]&lt;65,"Yes","No")</f>
        <v>No</v>
      </c>
    </row>
    <row r="922" spans="1:12" x14ac:dyDescent="0.35">
      <c r="A922" t="s">
        <v>963</v>
      </c>
      <c r="B922" t="s">
        <v>63</v>
      </c>
      <c r="C922" t="s">
        <v>13</v>
      </c>
      <c r="D922">
        <v>69.48</v>
      </c>
      <c r="E922" t="s">
        <v>5</v>
      </c>
      <c r="F922">
        <v>7.11</v>
      </c>
      <c r="G922" t="s">
        <v>6</v>
      </c>
      <c r="H922" t="str">
        <f t="shared" si="90"/>
        <v>Passed</v>
      </c>
      <c r="I922" t="str">
        <f>IF(AND(Sheet1[[#This Row],[Attendance ]]&gt;65,Sheet1[[#This Row],[Attendance ]]&lt;75),"Yes","No")</f>
        <v>Yes</v>
      </c>
      <c r="J922" t="str">
        <f>IF(Sheet1[[#This Row],[Attendance ]]&lt;65,"Yes","No")</f>
        <v>No</v>
      </c>
      <c r="K922" t="str">
        <f t="shared" ref="K922:K924" si="95">CHOOSE(MOD(ROW()-2,8)+1,
"Kadapa",
"Ananthapur",
"Rayachoti",
"Nellore",
"Chittoor",
"Madanapalli",
"Rajampeta",
"Tirupati")</f>
        <v>Kadapa</v>
      </c>
      <c r="L922" t="str">
        <f t="shared" ref="L922:L924" si="96">IF(AND(G920="4th Year",E920="Pass",F920&gt;=7),"Yes","No")</f>
        <v>No</v>
      </c>
    </row>
    <row r="923" spans="1:12" x14ac:dyDescent="0.35">
      <c r="A923" t="s">
        <v>964</v>
      </c>
      <c r="B923" t="s">
        <v>22</v>
      </c>
      <c r="C923" t="s">
        <v>20</v>
      </c>
      <c r="D923">
        <v>66.73</v>
      </c>
      <c r="E923" t="s">
        <v>5</v>
      </c>
      <c r="F923">
        <v>8.0500000000000007</v>
      </c>
      <c r="G923" t="s">
        <v>6</v>
      </c>
      <c r="H923" t="str">
        <f t="shared" si="90"/>
        <v>Passed</v>
      </c>
      <c r="I923" t="str">
        <f>IF(AND(Sheet1[[#This Row],[Attendance ]]&gt;65,Sheet1[[#This Row],[Attendance ]]&lt;75),"Yes","No")</f>
        <v>Yes</v>
      </c>
      <c r="J923" t="str">
        <f>IF(Sheet1[[#This Row],[Attendance ]]&lt;65,"Yes","No")</f>
        <v>No</v>
      </c>
      <c r="K923" t="str">
        <f t="shared" si="95"/>
        <v>Ananthapur</v>
      </c>
      <c r="L923" t="str">
        <f t="shared" si="96"/>
        <v>No</v>
      </c>
    </row>
    <row r="924" spans="1:12" x14ac:dyDescent="0.35">
      <c r="A924" t="s">
        <v>965</v>
      </c>
      <c r="B924" t="s">
        <v>32</v>
      </c>
      <c r="C924" t="s">
        <v>20</v>
      </c>
      <c r="D924">
        <v>69.819999999999993</v>
      </c>
      <c r="E924" t="s">
        <v>5</v>
      </c>
      <c r="F924">
        <v>8.1999999999999993</v>
      </c>
      <c r="G924" t="s">
        <v>28</v>
      </c>
      <c r="H924" t="str">
        <f t="shared" si="90"/>
        <v>Passed</v>
      </c>
      <c r="I924" t="str">
        <f>IF(AND(Sheet1[[#This Row],[Attendance ]]&gt;65,Sheet1[[#This Row],[Attendance ]]&lt;75),"Yes","No")</f>
        <v>Yes</v>
      </c>
      <c r="J924" t="str">
        <f>IF(Sheet1[[#This Row],[Attendance ]]&lt;65,"Yes","No")</f>
        <v>No</v>
      </c>
      <c r="K924" t="str">
        <f t="shared" si="95"/>
        <v>Rayachoti</v>
      </c>
      <c r="L924" t="str">
        <f t="shared" si="96"/>
        <v>No</v>
      </c>
    </row>
    <row r="925" spans="1:12" hidden="1" x14ac:dyDescent="0.35">
      <c r="A925" t="s">
        <v>966</v>
      </c>
      <c r="B925" t="s">
        <v>110</v>
      </c>
      <c r="C925" t="s">
        <v>9</v>
      </c>
      <c r="D925">
        <v>61.35</v>
      </c>
      <c r="E925" t="s">
        <v>5</v>
      </c>
      <c r="F925">
        <v>8.85</v>
      </c>
      <c r="G925" t="s">
        <v>11</v>
      </c>
      <c r="H925" t="str">
        <f t="shared" si="90"/>
        <v>Passed</v>
      </c>
      <c r="I925" t="str">
        <f>IF(AND(Sheet1[[#This Row],[Attendance ]]&gt;65,Sheet1[[#This Row],[Attendance ]]&lt;75),"Yes","No")</f>
        <v>No</v>
      </c>
      <c r="J925" t="str">
        <f>IF(Sheet1[[#This Row],[Attendance ]]&lt;65,"Yes","No")</f>
        <v>Yes</v>
      </c>
    </row>
    <row r="926" spans="1:12" hidden="1" x14ac:dyDescent="0.35">
      <c r="A926" t="s">
        <v>967</v>
      </c>
      <c r="B926" t="s">
        <v>63</v>
      </c>
      <c r="C926" t="s">
        <v>4</v>
      </c>
      <c r="D926">
        <v>90.4</v>
      </c>
      <c r="E926" t="s">
        <v>5</v>
      </c>
      <c r="F926">
        <v>6.63</v>
      </c>
      <c r="G926" t="s">
        <v>11</v>
      </c>
      <c r="H926" t="str">
        <f t="shared" si="90"/>
        <v>Passed</v>
      </c>
      <c r="I926" t="str">
        <f>IF(AND(Sheet1[[#This Row],[Attendance ]]&gt;65,Sheet1[[#This Row],[Attendance ]]&lt;75),"Yes","No")</f>
        <v>No</v>
      </c>
      <c r="J926" t="str">
        <f>IF(Sheet1[[#This Row],[Attendance ]]&lt;65,"Yes","No")</f>
        <v>No</v>
      </c>
    </row>
    <row r="927" spans="1:12" hidden="1" x14ac:dyDescent="0.35">
      <c r="A927" t="s">
        <v>968</v>
      </c>
      <c r="B927" t="s">
        <v>17</v>
      </c>
      <c r="C927" t="s">
        <v>23</v>
      </c>
      <c r="D927">
        <v>90.87</v>
      </c>
      <c r="E927" t="s">
        <v>5</v>
      </c>
      <c r="F927">
        <v>6.63</v>
      </c>
      <c r="G927" t="s">
        <v>28</v>
      </c>
      <c r="H927" t="str">
        <f t="shared" si="90"/>
        <v>Passed</v>
      </c>
      <c r="I927" t="str">
        <f>IF(AND(Sheet1[[#This Row],[Attendance ]]&gt;65,Sheet1[[#This Row],[Attendance ]]&lt;75),"Yes","No")</f>
        <v>No</v>
      </c>
      <c r="J927" t="str">
        <f>IF(Sheet1[[#This Row],[Attendance ]]&lt;65,"Yes","No")</f>
        <v>No</v>
      </c>
    </row>
    <row r="928" spans="1:12" hidden="1" x14ac:dyDescent="0.35">
      <c r="A928" t="s">
        <v>969</v>
      </c>
      <c r="B928" t="s">
        <v>19</v>
      </c>
      <c r="C928" t="s">
        <v>35</v>
      </c>
      <c r="D928">
        <v>91.73</v>
      </c>
      <c r="E928" t="s">
        <v>5</v>
      </c>
      <c r="F928">
        <v>8.32</v>
      </c>
      <c r="G928" t="s">
        <v>26</v>
      </c>
      <c r="H928" t="str">
        <f t="shared" si="90"/>
        <v>Passed</v>
      </c>
      <c r="I928" t="str">
        <f>IF(AND(Sheet1[[#This Row],[Attendance ]]&gt;65,Sheet1[[#This Row],[Attendance ]]&lt;75),"Yes","No")</f>
        <v>No</v>
      </c>
      <c r="J928" t="str">
        <f>IF(Sheet1[[#This Row],[Attendance ]]&lt;65,"Yes","No")</f>
        <v>No</v>
      </c>
    </row>
    <row r="929" spans="1:12" hidden="1" x14ac:dyDescent="0.35">
      <c r="A929" t="s">
        <v>970</v>
      </c>
      <c r="B929" t="s">
        <v>88</v>
      </c>
      <c r="C929" t="s">
        <v>13</v>
      </c>
      <c r="D929">
        <v>61.35</v>
      </c>
      <c r="E929" t="s">
        <v>5</v>
      </c>
      <c r="F929">
        <v>6.01</v>
      </c>
      <c r="G929" t="s">
        <v>11</v>
      </c>
      <c r="H929" t="str">
        <f t="shared" si="90"/>
        <v>Passed</v>
      </c>
      <c r="I929" t="str">
        <f>IF(AND(Sheet1[[#This Row],[Attendance ]]&gt;65,Sheet1[[#This Row],[Attendance ]]&lt;75),"Yes","No")</f>
        <v>No</v>
      </c>
      <c r="J929" t="str">
        <f>IF(Sheet1[[#This Row],[Attendance ]]&lt;65,"Yes","No")</f>
        <v>Yes</v>
      </c>
    </row>
    <row r="930" spans="1:12" hidden="1" x14ac:dyDescent="0.35">
      <c r="A930" t="s">
        <v>971</v>
      </c>
      <c r="B930" t="s">
        <v>164</v>
      </c>
      <c r="C930" t="s">
        <v>9</v>
      </c>
      <c r="D930">
        <v>91.99</v>
      </c>
      <c r="E930" t="s">
        <v>5</v>
      </c>
      <c r="F930">
        <v>8.91</v>
      </c>
      <c r="G930" t="s">
        <v>6</v>
      </c>
      <c r="H930" t="str">
        <f t="shared" si="90"/>
        <v>Passed</v>
      </c>
      <c r="I930" t="str">
        <f>IF(AND(Sheet1[[#This Row],[Attendance ]]&gt;65,Sheet1[[#This Row],[Attendance ]]&lt;75),"Yes","No")</f>
        <v>No</v>
      </c>
      <c r="J930" t="str">
        <f>IF(Sheet1[[#This Row],[Attendance ]]&lt;65,"Yes","No")</f>
        <v>No</v>
      </c>
    </row>
    <row r="931" spans="1:12" hidden="1" x14ac:dyDescent="0.35">
      <c r="A931" t="s">
        <v>972</v>
      </c>
      <c r="B931" t="s">
        <v>8</v>
      </c>
      <c r="C931" t="s">
        <v>9</v>
      </c>
      <c r="D931">
        <v>93.84</v>
      </c>
      <c r="E931" t="s">
        <v>5</v>
      </c>
      <c r="F931">
        <v>8.86</v>
      </c>
      <c r="G931" t="s">
        <v>26</v>
      </c>
      <c r="H931" t="str">
        <f t="shared" si="90"/>
        <v>Passed</v>
      </c>
      <c r="I931" t="str">
        <f>IF(AND(Sheet1[[#This Row],[Attendance ]]&gt;65,Sheet1[[#This Row],[Attendance ]]&lt;75),"Yes","No")</f>
        <v>No</v>
      </c>
      <c r="J931" t="str">
        <f>IF(Sheet1[[#This Row],[Attendance ]]&lt;65,"Yes","No")</f>
        <v>No</v>
      </c>
    </row>
    <row r="932" spans="1:12" hidden="1" x14ac:dyDescent="0.35">
      <c r="A932" t="s">
        <v>973</v>
      </c>
      <c r="B932" t="s">
        <v>37</v>
      </c>
      <c r="C932" t="s">
        <v>4</v>
      </c>
      <c r="D932">
        <v>95.95</v>
      </c>
      <c r="E932" t="s">
        <v>5</v>
      </c>
      <c r="F932">
        <v>5.37</v>
      </c>
      <c r="G932" t="s">
        <v>28</v>
      </c>
      <c r="H932" t="str">
        <f t="shared" si="90"/>
        <v>Passed</v>
      </c>
      <c r="I932" t="str">
        <f>IF(AND(Sheet1[[#This Row],[Attendance ]]&gt;65,Sheet1[[#This Row],[Attendance ]]&lt;75),"Yes","No")</f>
        <v>No</v>
      </c>
      <c r="J932" t="str">
        <f>IF(Sheet1[[#This Row],[Attendance ]]&lt;65,"Yes","No")</f>
        <v>No</v>
      </c>
    </row>
    <row r="933" spans="1:12" hidden="1" x14ac:dyDescent="0.35">
      <c r="A933" t="s">
        <v>974</v>
      </c>
      <c r="B933" t="s">
        <v>25</v>
      </c>
      <c r="C933" t="s">
        <v>9</v>
      </c>
      <c r="D933">
        <v>81.66</v>
      </c>
      <c r="E933" t="s">
        <v>5</v>
      </c>
      <c r="F933">
        <v>8.36</v>
      </c>
      <c r="G933" t="s">
        <v>6</v>
      </c>
      <c r="H933" t="str">
        <f t="shared" si="90"/>
        <v>Passed</v>
      </c>
      <c r="I933" t="str">
        <f>IF(AND(Sheet1[[#This Row],[Attendance ]]&gt;65,Sheet1[[#This Row],[Attendance ]]&lt;75),"Yes","No")</f>
        <v>No</v>
      </c>
      <c r="J933" t="str">
        <f>IF(Sheet1[[#This Row],[Attendance ]]&lt;65,"Yes","No")</f>
        <v>No</v>
      </c>
    </row>
    <row r="934" spans="1:12" hidden="1" x14ac:dyDescent="0.35">
      <c r="A934" t="s">
        <v>975</v>
      </c>
      <c r="B934" t="s">
        <v>51</v>
      </c>
      <c r="C934" t="s">
        <v>9</v>
      </c>
      <c r="D934">
        <v>85.47</v>
      </c>
      <c r="E934" t="s">
        <v>5</v>
      </c>
      <c r="F934">
        <v>5.97</v>
      </c>
      <c r="G934" t="s">
        <v>26</v>
      </c>
      <c r="H934" t="str">
        <f t="shared" si="90"/>
        <v>Passed</v>
      </c>
      <c r="I934" t="str">
        <f>IF(AND(Sheet1[[#This Row],[Attendance ]]&gt;65,Sheet1[[#This Row],[Attendance ]]&lt;75),"Yes","No")</f>
        <v>No</v>
      </c>
      <c r="J934" t="str">
        <f>IF(Sheet1[[#This Row],[Attendance ]]&lt;65,"Yes","No")</f>
        <v>No</v>
      </c>
    </row>
    <row r="935" spans="1:12" hidden="1" x14ac:dyDescent="0.35">
      <c r="A935" t="s">
        <v>976</v>
      </c>
      <c r="B935" t="s">
        <v>116</v>
      </c>
      <c r="C935" t="s">
        <v>35</v>
      </c>
      <c r="D935">
        <v>81.16</v>
      </c>
      <c r="E935" t="s">
        <v>5</v>
      </c>
      <c r="F935">
        <v>8.92</v>
      </c>
      <c r="G935" t="s">
        <v>11</v>
      </c>
      <c r="H935" t="str">
        <f t="shared" si="90"/>
        <v>Passed</v>
      </c>
      <c r="I935" t="str">
        <f>IF(AND(Sheet1[[#This Row],[Attendance ]]&gt;65,Sheet1[[#This Row],[Attendance ]]&lt;75),"Yes","No")</f>
        <v>No</v>
      </c>
      <c r="J935" t="str">
        <f>IF(Sheet1[[#This Row],[Attendance ]]&lt;65,"Yes","No")</f>
        <v>No</v>
      </c>
    </row>
    <row r="936" spans="1:12" hidden="1" x14ac:dyDescent="0.35">
      <c r="A936" t="s">
        <v>977</v>
      </c>
      <c r="B936" t="s">
        <v>107</v>
      </c>
      <c r="C936" t="s">
        <v>13</v>
      </c>
      <c r="D936">
        <v>64.33</v>
      </c>
      <c r="E936" t="s">
        <v>10</v>
      </c>
      <c r="F936">
        <v>5.22</v>
      </c>
      <c r="G936" t="s">
        <v>28</v>
      </c>
      <c r="H936" t="str">
        <f t="shared" si="90"/>
        <v>Machine Learning</v>
      </c>
      <c r="I936" t="str">
        <f>IF(AND(Sheet1[[#This Row],[Attendance ]]&gt;65,Sheet1[[#This Row],[Attendance ]]&lt;75),"Yes","No")</f>
        <v>No</v>
      </c>
      <c r="J936" t="str">
        <f>IF(Sheet1[[#This Row],[Attendance ]]&lt;65,"Yes","No")</f>
        <v>Yes</v>
      </c>
    </row>
    <row r="937" spans="1:12" hidden="1" x14ac:dyDescent="0.35">
      <c r="A937" t="s">
        <v>978</v>
      </c>
      <c r="B937" t="s">
        <v>39</v>
      </c>
      <c r="C937" t="s">
        <v>9</v>
      </c>
      <c r="D937">
        <v>97.76</v>
      </c>
      <c r="E937" t="s">
        <v>5</v>
      </c>
      <c r="F937">
        <v>6.43</v>
      </c>
      <c r="G937" t="s">
        <v>6</v>
      </c>
      <c r="H937" t="str">
        <f t="shared" si="90"/>
        <v>Passed</v>
      </c>
      <c r="I937" t="str">
        <f>IF(AND(Sheet1[[#This Row],[Attendance ]]&gt;65,Sheet1[[#This Row],[Attendance ]]&lt;75),"Yes","No")</f>
        <v>No</v>
      </c>
      <c r="J937" t="str">
        <f>IF(Sheet1[[#This Row],[Attendance ]]&lt;65,"Yes","No")</f>
        <v>No</v>
      </c>
    </row>
    <row r="938" spans="1:12" x14ac:dyDescent="0.35">
      <c r="A938" t="s">
        <v>979</v>
      </c>
      <c r="B938" t="s">
        <v>88</v>
      </c>
      <c r="C938" t="s">
        <v>13</v>
      </c>
      <c r="D938">
        <v>71.430000000000007</v>
      </c>
      <c r="E938" t="s">
        <v>5</v>
      </c>
      <c r="F938">
        <v>8.98</v>
      </c>
      <c r="G938" t="s">
        <v>26</v>
      </c>
      <c r="H938" t="str">
        <f t="shared" si="90"/>
        <v>Passed</v>
      </c>
      <c r="I938" t="str">
        <f>IF(AND(Sheet1[[#This Row],[Attendance ]]&gt;65,Sheet1[[#This Row],[Attendance ]]&lt;75),"Yes","No")</f>
        <v>Yes</v>
      </c>
      <c r="J938" t="str">
        <f>IF(Sheet1[[#This Row],[Attendance ]]&lt;65,"Yes","No")</f>
        <v>No</v>
      </c>
      <c r="K938" t="str">
        <f>CHOOSE(MOD(ROW()-2,8)+1,
"Kadapa",
"Ananthapur",
"Rayachoti",
"Nellore",
"Chittoor",
"Madanapalli",
"Rajampeta",
"Tirupati")</f>
        <v>Kadapa</v>
      </c>
      <c r="L938" t="str">
        <f>IF(AND(G936="4th Year",E936="Pass",F936&gt;=7),"Yes","No")</f>
        <v>No</v>
      </c>
    </row>
    <row r="939" spans="1:12" hidden="1" x14ac:dyDescent="0.35">
      <c r="A939" t="s">
        <v>980</v>
      </c>
      <c r="B939" t="s">
        <v>98</v>
      </c>
      <c r="C939" t="s">
        <v>9</v>
      </c>
      <c r="D939">
        <v>63.76</v>
      </c>
      <c r="E939" t="s">
        <v>10</v>
      </c>
      <c r="F939">
        <v>6.13</v>
      </c>
      <c r="G939" t="s">
        <v>26</v>
      </c>
      <c r="H939" t="str">
        <f t="shared" si="90"/>
        <v>Deep Learning</v>
      </c>
      <c r="I939" t="str">
        <f>IF(AND(Sheet1[[#This Row],[Attendance ]]&gt;65,Sheet1[[#This Row],[Attendance ]]&lt;75),"Yes","No")</f>
        <v>No</v>
      </c>
      <c r="J939" t="str">
        <f>IF(Sheet1[[#This Row],[Attendance ]]&lt;65,"Yes","No")</f>
        <v>Yes</v>
      </c>
    </row>
    <row r="940" spans="1:12" x14ac:dyDescent="0.35">
      <c r="A940" t="s">
        <v>981</v>
      </c>
      <c r="B940" t="s">
        <v>164</v>
      </c>
      <c r="C940" t="s">
        <v>35</v>
      </c>
      <c r="D940">
        <v>74.67</v>
      </c>
      <c r="E940" t="s">
        <v>5</v>
      </c>
      <c r="F940">
        <v>5.81</v>
      </c>
      <c r="G940" t="s">
        <v>11</v>
      </c>
      <c r="H940" t="str">
        <f t="shared" si="90"/>
        <v>Passed</v>
      </c>
      <c r="I940" t="str">
        <f>IF(AND(Sheet1[[#This Row],[Attendance ]]&gt;65,Sheet1[[#This Row],[Attendance ]]&lt;75),"Yes","No")</f>
        <v>Yes</v>
      </c>
      <c r="J940" t="str">
        <f>IF(Sheet1[[#This Row],[Attendance ]]&lt;65,"Yes","No")</f>
        <v>No</v>
      </c>
      <c r="K940" t="str">
        <f>CHOOSE(MOD(ROW()-2,8)+1,
"Kadapa",
"Ananthapur",
"Rayachoti",
"Nellore",
"Chittoor",
"Madanapalli",
"Rajampeta",
"Tirupati")</f>
        <v>Rayachoti</v>
      </c>
      <c r="L940" t="str">
        <f>IF(AND(G938="4th Year",E938="Pass",F938&gt;=7),"Yes","No")</f>
        <v>Yes</v>
      </c>
    </row>
    <row r="941" spans="1:12" hidden="1" x14ac:dyDescent="0.35">
      <c r="A941" t="s">
        <v>982</v>
      </c>
      <c r="B941" t="s">
        <v>17</v>
      </c>
      <c r="C941" t="s">
        <v>9</v>
      </c>
      <c r="D941">
        <v>96.72</v>
      </c>
      <c r="E941" t="s">
        <v>5</v>
      </c>
      <c r="F941">
        <v>6.72</v>
      </c>
      <c r="G941" t="s">
        <v>11</v>
      </c>
      <c r="H941" t="str">
        <f t="shared" si="90"/>
        <v>Passed</v>
      </c>
      <c r="I941" t="str">
        <f>IF(AND(Sheet1[[#This Row],[Attendance ]]&gt;65,Sheet1[[#This Row],[Attendance ]]&lt;75),"Yes","No")</f>
        <v>No</v>
      </c>
      <c r="J941" t="str">
        <f>IF(Sheet1[[#This Row],[Attendance ]]&lt;65,"Yes","No")</f>
        <v>No</v>
      </c>
    </row>
    <row r="942" spans="1:12" hidden="1" x14ac:dyDescent="0.35">
      <c r="A942" t="s">
        <v>983</v>
      </c>
      <c r="B942" t="s">
        <v>77</v>
      </c>
      <c r="C942" t="s">
        <v>4</v>
      </c>
      <c r="D942">
        <v>97.85</v>
      </c>
      <c r="E942" t="s">
        <v>10</v>
      </c>
      <c r="F942">
        <v>6.59</v>
      </c>
      <c r="G942" t="s">
        <v>11</v>
      </c>
      <c r="H942" t="str">
        <f t="shared" si="90"/>
        <v>M1</v>
      </c>
      <c r="I942" t="str">
        <f>IF(AND(Sheet1[[#This Row],[Attendance ]]&gt;65,Sheet1[[#This Row],[Attendance ]]&lt;75),"Yes","No")</f>
        <v>No</v>
      </c>
      <c r="J942" t="str">
        <f>IF(Sheet1[[#This Row],[Attendance ]]&lt;65,"Yes","No")</f>
        <v>No</v>
      </c>
    </row>
    <row r="943" spans="1:12" x14ac:dyDescent="0.35">
      <c r="A943" t="s">
        <v>984</v>
      </c>
      <c r="B943" t="s">
        <v>3</v>
      </c>
      <c r="C943" t="s">
        <v>9</v>
      </c>
      <c r="D943">
        <v>65.510000000000005</v>
      </c>
      <c r="E943" t="s">
        <v>5</v>
      </c>
      <c r="F943">
        <v>6.7</v>
      </c>
      <c r="G943" t="s">
        <v>28</v>
      </c>
      <c r="H943" t="str">
        <f t="shared" si="90"/>
        <v>Passed</v>
      </c>
      <c r="I943" t="str">
        <f>IF(AND(Sheet1[[#This Row],[Attendance ]]&gt;65,Sheet1[[#This Row],[Attendance ]]&lt;75),"Yes","No")</f>
        <v>Yes</v>
      </c>
      <c r="J943" t="str">
        <f>IF(Sheet1[[#This Row],[Attendance ]]&lt;65,"Yes","No")</f>
        <v>No</v>
      </c>
      <c r="K943" t="str">
        <f>CHOOSE(MOD(ROW()-2,8)+1,
"Kadapa",
"Ananthapur",
"Rayachoti",
"Nellore",
"Chittoor",
"Madanapalli",
"Rajampeta",
"Tirupati")</f>
        <v>Madanapalli</v>
      </c>
      <c r="L943" t="str">
        <f>IF(AND(G941="4th Year",E941="Pass",F941&gt;=7),"Yes","No")</f>
        <v>No</v>
      </c>
    </row>
    <row r="944" spans="1:12" hidden="1" x14ac:dyDescent="0.35">
      <c r="A944" t="s">
        <v>985</v>
      </c>
      <c r="B944" t="s">
        <v>77</v>
      </c>
      <c r="C944" t="s">
        <v>4</v>
      </c>
      <c r="D944">
        <v>87.59</v>
      </c>
      <c r="E944" t="s">
        <v>10</v>
      </c>
      <c r="F944">
        <v>7.19</v>
      </c>
      <c r="G944" t="s">
        <v>26</v>
      </c>
      <c r="H944" t="str">
        <f t="shared" si="90"/>
        <v>Deep Learning</v>
      </c>
      <c r="I944" t="str">
        <f>IF(AND(Sheet1[[#This Row],[Attendance ]]&gt;65,Sheet1[[#This Row],[Attendance ]]&lt;75),"Yes","No")</f>
        <v>No</v>
      </c>
      <c r="J944" t="str">
        <f>IF(Sheet1[[#This Row],[Attendance ]]&lt;65,"Yes","No")</f>
        <v>No</v>
      </c>
    </row>
    <row r="945" spans="1:12" hidden="1" x14ac:dyDescent="0.35">
      <c r="A945" t="s">
        <v>986</v>
      </c>
      <c r="B945" t="s">
        <v>34</v>
      </c>
      <c r="C945" t="s">
        <v>4</v>
      </c>
      <c r="D945">
        <v>97.32</v>
      </c>
      <c r="E945" t="s">
        <v>5</v>
      </c>
      <c r="F945">
        <v>7.96</v>
      </c>
      <c r="G945" t="s">
        <v>6</v>
      </c>
      <c r="H945" t="str">
        <f t="shared" si="90"/>
        <v>Passed</v>
      </c>
      <c r="I945" t="str">
        <f>IF(AND(Sheet1[[#This Row],[Attendance ]]&gt;65,Sheet1[[#This Row],[Attendance ]]&lt;75),"Yes","No")</f>
        <v>No</v>
      </c>
      <c r="J945" t="str">
        <f>IF(Sheet1[[#This Row],[Attendance ]]&lt;65,"Yes","No")</f>
        <v>No</v>
      </c>
    </row>
    <row r="946" spans="1:12" hidden="1" x14ac:dyDescent="0.35">
      <c r="A946" t="s">
        <v>987</v>
      </c>
      <c r="B946" t="s">
        <v>116</v>
      </c>
      <c r="C946" t="s">
        <v>13</v>
      </c>
      <c r="D946">
        <v>91.66</v>
      </c>
      <c r="E946" t="s">
        <v>5</v>
      </c>
      <c r="F946">
        <v>9.14</v>
      </c>
      <c r="G946" t="s">
        <v>28</v>
      </c>
      <c r="H946" t="str">
        <f t="shared" si="90"/>
        <v>Passed</v>
      </c>
      <c r="I946" t="str">
        <f>IF(AND(Sheet1[[#This Row],[Attendance ]]&gt;65,Sheet1[[#This Row],[Attendance ]]&lt;75),"Yes","No")</f>
        <v>No</v>
      </c>
      <c r="J946" t="str">
        <f>IF(Sheet1[[#This Row],[Attendance ]]&lt;65,"Yes","No")</f>
        <v>No</v>
      </c>
    </row>
    <row r="947" spans="1:12" hidden="1" x14ac:dyDescent="0.35">
      <c r="A947" t="s">
        <v>988</v>
      </c>
      <c r="B947" t="s">
        <v>58</v>
      </c>
      <c r="C947" t="s">
        <v>13</v>
      </c>
      <c r="D947">
        <v>85.69</v>
      </c>
      <c r="E947" t="s">
        <v>5</v>
      </c>
      <c r="F947">
        <v>6.14</v>
      </c>
      <c r="G947" t="s">
        <v>6</v>
      </c>
      <c r="H947" t="str">
        <f t="shared" si="90"/>
        <v>Passed</v>
      </c>
      <c r="I947" t="str">
        <f>IF(AND(Sheet1[[#This Row],[Attendance ]]&gt;65,Sheet1[[#This Row],[Attendance ]]&lt;75),"Yes","No")</f>
        <v>No</v>
      </c>
      <c r="J947" t="str">
        <f>IF(Sheet1[[#This Row],[Attendance ]]&lt;65,"Yes","No")</f>
        <v>No</v>
      </c>
    </row>
    <row r="948" spans="1:12" x14ac:dyDescent="0.35">
      <c r="A948" t="s">
        <v>989</v>
      </c>
      <c r="B948" t="s">
        <v>17</v>
      </c>
      <c r="C948" t="s">
        <v>23</v>
      </c>
      <c r="D948">
        <v>65.48</v>
      </c>
      <c r="E948" t="s">
        <v>10</v>
      </c>
      <c r="F948">
        <v>9.5399999999999991</v>
      </c>
      <c r="G948" t="s">
        <v>28</v>
      </c>
      <c r="H948" t="str">
        <f t="shared" si="90"/>
        <v>Machine Learning</v>
      </c>
      <c r="I948" t="str">
        <f>IF(AND(Sheet1[[#This Row],[Attendance ]]&gt;65,Sheet1[[#This Row],[Attendance ]]&lt;75),"Yes","No")</f>
        <v>Yes</v>
      </c>
      <c r="J948" t="str">
        <f>IF(Sheet1[[#This Row],[Attendance ]]&lt;65,"Yes","No")</f>
        <v>No</v>
      </c>
      <c r="K948" t="str">
        <f>CHOOSE(MOD(ROW()-2,8)+1,
"Kadapa",
"Ananthapur",
"Rayachoti",
"Nellore",
"Chittoor",
"Madanapalli",
"Rajampeta",
"Tirupati")</f>
        <v>Rayachoti</v>
      </c>
      <c r="L948" t="str">
        <f>IF(AND(G946="4th Year",E946="Pass",F946&gt;=7),"Yes","No")</f>
        <v>No</v>
      </c>
    </row>
    <row r="949" spans="1:12" hidden="1" x14ac:dyDescent="0.35">
      <c r="A949" t="s">
        <v>990</v>
      </c>
      <c r="B949" t="s">
        <v>51</v>
      </c>
      <c r="C949" t="s">
        <v>20</v>
      </c>
      <c r="D949">
        <v>99.81</v>
      </c>
      <c r="E949" t="s">
        <v>5</v>
      </c>
      <c r="F949">
        <v>9.51</v>
      </c>
      <c r="G949" t="s">
        <v>6</v>
      </c>
      <c r="H949" t="str">
        <f t="shared" si="90"/>
        <v>Passed</v>
      </c>
      <c r="I949" t="str">
        <f>IF(AND(Sheet1[[#This Row],[Attendance ]]&gt;65,Sheet1[[#This Row],[Attendance ]]&lt;75),"Yes","No")</f>
        <v>No</v>
      </c>
      <c r="J949" t="str">
        <f>IF(Sheet1[[#This Row],[Attendance ]]&lt;65,"Yes","No")</f>
        <v>No</v>
      </c>
    </row>
    <row r="950" spans="1:12" x14ac:dyDescent="0.35">
      <c r="A950" t="s">
        <v>991</v>
      </c>
      <c r="B950" t="s">
        <v>63</v>
      </c>
      <c r="C950" t="s">
        <v>13</v>
      </c>
      <c r="D950">
        <v>66.680000000000007</v>
      </c>
      <c r="E950" t="s">
        <v>5</v>
      </c>
      <c r="F950">
        <v>6.6</v>
      </c>
      <c r="G950" t="s">
        <v>6</v>
      </c>
      <c r="H950" t="str">
        <f t="shared" si="90"/>
        <v>Passed</v>
      </c>
      <c r="I950" t="str">
        <f>IF(AND(Sheet1[[#This Row],[Attendance ]]&gt;65,Sheet1[[#This Row],[Attendance ]]&lt;75),"Yes","No")</f>
        <v>Yes</v>
      </c>
      <c r="J950" t="str">
        <f>IF(Sheet1[[#This Row],[Attendance ]]&lt;65,"Yes","No")</f>
        <v>No</v>
      </c>
      <c r="K950" t="str">
        <f>CHOOSE(MOD(ROW()-2,8)+1,
"Kadapa",
"Ananthapur",
"Rayachoti",
"Nellore",
"Chittoor",
"Madanapalli",
"Rajampeta",
"Tirupati")</f>
        <v>Chittoor</v>
      </c>
      <c r="L950" t="str">
        <f>IF(AND(G948="4th Year",E948="Pass",F948&gt;=7),"Yes","No")</f>
        <v>No</v>
      </c>
    </row>
    <row r="951" spans="1:12" hidden="1" x14ac:dyDescent="0.35">
      <c r="A951" t="s">
        <v>992</v>
      </c>
      <c r="B951" t="s">
        <v>107</v>
      </c>
      <c r="C951" t="s">
        <v>9</v>
      </c>
      <c r="D951">
        <v>91.29</v>
      </c>
      <c r="E951" t="s">
        <v>10</v>
      </c>
      <c r="F951">
        <v>5.93</v>
      </c>
      <c r="G951" t="s">
        <v>6</v>
      </c>
      <c r="H951" t="str">
        <f t="shared" si="90"/>
        <v>DBMS</v>
      </c>
      <c r="I951" t="str">
        <f>IF(AND(Sheet1[[#This Row],[Attendance ]]&gt;65,Sheet1[[#This Row],[Attendance ]]&lt;75),"Yes","No")</f>
        <v>No</v>
      </c>
      <c r="J951" t="str">
        <f>IF(Sheet1[[#This Row],[Attendance ]]&lt;65,"Yes","No")</f>
        <v>No</v>
      </c>
    </row>
    <row r="952" spans="1:12" hidden="1" x14ac:dyDescent="0.35">
      <c r="A952" t="s">
        <v>993</v>
      </c>
      <c r="B952" t="s">
        <v>77</v>
      </c>
      <c r="C952" t="s">
        <v>20</v>
      </c>
      <c r="D952">
        <v>84.39</v>
      </c>
      <c r="E952" t="s">
        <v>5</v>
      </c>
      <c r="F952">
        <v>5.21</v>
      </c>
      <c r="G952" t="s">
        <v>28</v>
      </c>
      <c r="H952" t="str">
        <f t="shared" si="90"/>
        <v>Passed</v>
      </c>
      <c r="I952" t="str">
        <f>IF(AND(Sheet1[[#This Row],[Attendance ]]&gt;65,Sheet1[[#This Row],[Attendance ]]&lt;75),"Yes","No")</f>
        <v>No</v>
      </c>
      <c r="J952" t="str">
        <f>IF(Sheet1[[#This Row],[Attendance ]]&lt;65,"Yes","No")</f>
        <v>No</v>
      </c>
    </row>
    <row r="953" spans="1:12" hidden="1" x14ac:dyDescent="0.35">
      <c r="A953" t="s">
        <v>994</v>
      </c>
      <c r="B953" t="s">
        <v>12</v>
      </c>
      <c r="C953" t="s">
        <v>9</v>
      </c>
      <c r="D953">
        <v>78.209999999999994</v>
      </c>
      <c r="E953" t="s">
        <v>5</v>
      </c>
      <c r="F953">
        <v>5.22</v>
      </c>
      <c r="G953" t="s">
        <v>26</v>
      </c>
      <c r="H953" t="str">
        <f t="shared" si="90"/>
        <v>Passed</v>
      </c>
      <c r="I953" t="str">
        <f>IF(AND(Sheet1[[#This Row],[Attendance ]]&gt;65,Sheet1[[#This Row],[Attendance ]]&lt;75),"Yes","No")</f>
        <v>No</v>
      </c>
      <c r="J953" t="str">
        <f>IF(Sheet1[[#This Row],[Attendance ]]&lt;65,"Yes","No")</f>
        <v>No</v>
      </c>
    </row>
    <row r="954" spans="1:12" hidden="1" x14ac:dyDescent="0.35">
      <c r="A954" t="s">
        <v>995</v>
      </c>
      <c r="B954" t="s">
        <v>45</v>
      </c>
      <c r="C954" t="s">
        <v>35</v>
      </c>
      <c r="D954">
        <v>78.91</v>
      </c>
      <c r="E954" t="s">
        <v>5</v>
      </c>
      <c r="F954">
        <v>9.31</v>
      </c>
      <c r="G954" t="s">
        <v>11</v>
      </c>
      <c r="H954" t="str">
        <f t="shared" si="90"/>
        <v>Passed</v>
      </c>
      <c r="I954" t="str">
        <f>IF(AND(Sheet1[[#This Row],[Attendance ]]&gt;65,Sheet1[[#This Row],[Attendance ]]&lt;75),"Yes","No")</f>
        <v>No</v>
      </c>
      <c r="J954" t="str">
        <f>IF(Sheet1[[#This Row],[Attendance ]]&lt;65,"Yes","No")</f>
        <v>No</v>
      </c>
    </row>
    <row r="955" spans="1:12" x14ac:dyDescent="0.35">
      <c r="A955" t="s">
        <v>996</v>
      </c>
      <c r="B955" t="s">
        <v>70</v>
      </c>
      <c r="C955" t="s">
        <v>23</v>
      </c>
      <c r="D955">
        <v>66.75</v>
      </c>
      <c r="E955" t="s">
        <v>10</v>
      </c>
      <c r="F955">
        <v>8.4499999999999993</v>
      </c>
      <c r="G955" t="s">
        <v>11</v>
      </c>
      <c r="H955" t="str">
        <f t="shared" si="90"/>
        <v>M1</v>
      </c>
      <c r="I955" t="str">
        <f>IF(AND(Sheet1[[#This Row],[Attendance ]]&gt;65,Sheet1[[#This Row],[Attendance ]]&lt;75),"Yes","No")</f>
        <v>Yes</v>
      </c>
      <c r="J955" t="str">
        <f>IF(Sheet1[[#This Row],[Attendance ]]&lt;65,"Yes","No")</f>
        <v>No</v>
      </c>
      <c r="K955" t="str">
        <f t="shared" ref="K955:K956" si="97">CHOOSE(MOD(ROW()-2,8)+1,
"Kadapa",
"Ananthapur",
"Rayachoti",
"Nellore",
"Chittoor",
"Madanapalli",
"Rajampeta",
"Tirupati")</f>
        <v>Ananthapur</v>
      </c>
      <c r="L955" t="str">
        <f t="shared" ref="L955:L956" si="98">IF(AND(G953="4th Year",E953="Pass",F953&gt;=7),"Yes","No")</f>
        <v>No</v>
      </c>
    </row>
    <row r="956" spans="1:12" x14ac:dyDescent="0.35">
      <c r="A956" t="s">
        <v>997</v>
      </c>
      <c r="B956" t="s">
        <v>63</v>
      </c>
      <c r="C956" t="s">
        <v>9</v>
      </c>
      <c r="D956">
        <v>65.87</v>
      </c>
      <c r="E956" t="s">
        <v>5</v>
      </c>
      <c r="F956">
        <v>5.97</v>
      </c>
      <c r="G956" t="s">
        <v>6</v>
      </c>
      <c r="H956" t="str">
        <f t="shared" si="90"/>
        <v>Passed</v>
      </c>
      <c r="I956" t="str">
        <f>IF(AND(Sheet1[[#This Row],[Attendance ]]&gt;65,Sheet1[[#This Row],[Attendance ]]&lt;75),"Yes","No")</f>
        <v>Yes</v>
      </c>
      <c r="J956" t="str">
        <f>IF(Sheet1[[#This Row],[Attendance ]]&lt;65,"Yes","No")</f>
        <v>No</v>
      </c>
      <c r="K956" t="str">
        <f t="shared" si="97"/>
        <v>Rayachoti</v>
      </c>
      <c r="L956" t="str">
        <f t="shared" si="98"/>
        <v>No</v>
      </c>
    </row>
    <row r="957" spans="1:12" hidden="1" x14ac:dyDescent="0.35">
      <c r="A957" t="s">
        <v>998</v>
      </c>
      <c r="B957" t="s">
        <v>25</v>
      </c>
      <c r="C957" t="s">
        <v>35</v>
      </c>
      <c r="D957">
        <v>91.35</v>
      </c>
      <c r="E957" t="s">
        <v>5</v>
      </c>
      <c r="F957">
        <v>9.1</v>
      </c>
      <c r="G957" t="s">
        <v>26</v>
      </c>
      <c r="H957" t="str">
        <f t="shared" si="90"/>
        <v>Passed</v>
      </c>
      <c r="I957" t="str">
        <f>IF(AND(Sheet1[[#This Row],[Attendance ]]&gt;65,Sheet1[[#This Row],[Attendance ]]&lt;75),"Yes","No")</f>
        <v>No</v>
      </c>
      <c r="J957" t="str">
        <f>IF(Sheet1[[#This Row],[Attendance ]]&lt;65,"Yes","No")</f>
        <v>No</v>
      </c>
    </row>
    <row r="958" spans="1:12" hidden="1" x14ac:dyDescent="0.35">
      <c r="A958" t="s">
        <v>999</v>
      </c>
      <c r="B958" t="s">
        <v>164</v>
      </c>
      <c r="C958" t="s">
        <v>20</v>
      </c>
      <c r="D958">
        <v>88.5</v>
      </c>
      <c r="E958" t="s">
        <v>5</v>
      </c>
      <c r="F958">
        <v>5.98</v>
      </c>
      <c r="G958" t="s">
        <v>28</v>
      </c>
      <c r="H958" t="str">
        <f t="shared" si="90"/>
        <v>Passed</v>
      </c>
      <c r="I958" t="str">
        <f>IF(AND(Sheet1[[#This Row],[Attendance ]]&gt;65,Sheet1[[#This Row],[Attendance ]]&lt;75),"Yes","No")</f>
        <v>No</v>
      </c>
      <c r="J958" t="str">
        <f>IF(Sheet1[[#This Row],[Attendance ]]&lt;65,"Yes","No")</f>
        <v>No</v>
      </c>
    </row>
    <row r="959" spans="1:12" hidden="1" x14ac:dyDescent="0.35">
      <c r="A959" t="s">
        <v>1000</v>
      </c>
      <c r="B959" t="s">
        <v>34</v>
      </c>
      <c r="C959" t="s">
        <v>13</v>
      </c>
      <c r="D959">
        <v>97.32</v>
      </c>
      <c r="E959" t="s">
        <v>5</v>
      </c>
      <c r="F959">
        <v>9.8000000000000007</v>
      </c>
      <c r="G959" t="s">
        <v>6</v>
      </c>
      <c r="H959" t="str">
        <f t="shared" si="90"/>
        <v>Passed</v>
      </c>
      <c r="I959" t="str">
        <f>IF(AND(Sheet1[[#This Row],[Attendance ]]&gt;65,Sheet1[[#This Row],[Attendance ]]&lt;75),"Yes","No")</f>
        <v>No</v>
      </c>
      <c r="J959" t="str">
        <f>IF(Sheet1[[#This Row],[Attendance ]]&lt;65,"Yes","No")</f>
        <v>No</v>
      </c>
    </row>
    <row r="960" spans="1:12" hidden="1" x14ac:dyDescent="0.35">
      <c r="A960" t="s">
        <v>1001</v>
      </c>
      <c r="B960" t="s">
        <v>32</v>
      </c>
      <c r="C960" t="s">
        <v>23</v>
      </c>
      <c r="D960">
        <v>93.39</v>
      </c>
      <c r="E960" t="s">
        <v>5</v>
      </c>
      <c r="F960">
        <v>8.5399999999999991</v>
      </c>
      <c r="G960" t="s">
        <v>6</v>
      </c>
      <c r="H960" t="str">
        <f t="shared" si="90"/>
        <v>Passed</v>
      </c>
      <c r="I960" t="str">
        <f>IF(AND(Sheet1[[#This Row],[Attendance ]]&gt;65,Sheet1[[#This Row],[Attendance ]]&lt;75),"Yes","No")</f>
        <v>No</v>
      </c>
      <c r="J960" t="str">
        <f>IF(Sheet1[[#This Row],[Attendance ]]&lt;65,"Yes","No")</f>
        <v>No</v>
      </c>
    </row>
    <row r="961" spans="1:12" hidden="1" x14ac:dyDescent="0.35">
      <c r="A961" t="s">
        <v>1002</v>
      </c>
      <c r="B961" t="s">
        <v>77</v>
      </c>
      <c r="C961" t="s">
        <v>20</v>
      </c>
      <c r="D961">
        <v>80.94</v>
      </c>
      <c r="E961" t="s">
        <v>5</v>
      </c>
      <c r="F961">
        <v>7.44</v>
      </c>
      <c r="G961" t="s">
        <v>28</v>
      </c>
      <c r="H961" t="str">
        <f t="shared" si="90"/>
        <v>Passed</v>
      </c>
      <c r="I961" t="str">
        <f>IF(AND(Sheet1[[#This Row],[Attendance ]]&gt;65,Sheet1[[#This Row],[Attendance ]]&lt;75),"Yes","No")</f>
        <v>No</v>
      </c>
      <c r="J961" t="str">
        <f>IF(Sheet1[[#This Row],[Attendance ]]&lt;65,"Yes","No")</f>
        <v>No</v>
      </c>
    </row>
    <row r="962" spans="1:12" hidden="1" x14ac:dyDescent="0.35">
      <c r="A962" t="s">
        <v>1003</v>
      </c>
      <c r="B962" t="s">
        <v>63</v>
      </c>
      <c r="C962" t="s">
        <v>13</v>
      </c>
      <c r="D962">
        <v>92.55</v>
      </c>
      <c r="E962" t="s">
        <v>5</v>
      </c>
      <c r="F962">
        <v>6.28</v>
      </c>
      <c r="G962" t="s">
        <v>6</v>
      </c>
      <c r="H962" t="str">
        <f t="shared" ref="H962:H1001" si="99">IF(E962="Pass","Passed",
IF(G962="1st Year","M1",
IF(G962="2nd Year","DBMS",
IF(G962="3rd Year","Machine Learning",
IF(G962="4th Year","Deep Learning","")))))</f>
        <v>Passed</v>
      </c>
      <c r="I962" t="str">
        <f>IF(AND(Sheet1[[#This Row],[Attendance ]]&gt;65,Sheet1[[#This Row],[Attendance ]]&lt;75),"Yes","No")</f>
        <v>No</v>
      </c>
      <c r="J962" t="str">
        <f>IF(Sheet1[[#This Row],[Attendance ]]&lt;65,"Yes","No")</f>
        <v>No</v>
      </c>
    </row>
    <row r="963" spans="1:12" hidden="1" x14ac:dyDescent="0.35">
      <c r="A963" t="s">
        <v>1004</v>
      </c>
      <c r="B963" t="s">
        <v>110</v>
      </c>
      <c r="C963" t="s">
        <v>23</v>
      </c>
      <c r="D963">
        <v>96.75</v>
      </c>
      <c r="E963" t="s">
        <v>5</v>
      </c>
      <c r="F963">
        <v>5.33</v>
      </c>
      <c r="G963" t="s">
        <v>11</v>
      </c>
      <c r="H963" t="str">
        <f t="shared" si="99"/>
        <v>Passed</v>
      </c>
      <c r="I963" t="str">
        <f>IF(AND(Sheet1[[#This Row],[Attendance ]]&gt;65,Sheet1[[#This Row],[Attendance ]]&lt;75),"Yes","No")</f>
        <v>No</v>
      </c>
      <c r="J963" t="str">
        <f>IF(Sheet1[[#This Row],[Attendance ]]&lt;65,"Yes","No")</f>
        <v>No</v>
      </c>
    </row>
    <row r="964" spans="1:12" hidden="1" x14ac:dyDescent="0.35">
      <c r="A964" t="s">
        <v>1005</v>
      </c>
      <c r="B964" t="s">
        <v>17</v>
      </c>
      <c r="C964" t="s">
        <v>4</v>
      </c>
      <c r="D964">
        <v>83.28</v>
      </c>
      <c r="E964" t="s">
        <v>5</v>
      </c>
      <c r="F964">
        <v>8.69</v>
      </c>
      <c r="G964" t="s">
        <v>26</v>
      </c>
      <c r="H964" t="str">
        <f t="shared" si="99"/>
        <v>Passed</v>
      </c>
      <c r="I964" t="str">
        <f>IF(AND(Sheet1[[#This Row],[Attendance ]]&gt;65,Sheet1[[#This Row],[Attendance ]]&lt;75),"Yes","No")</f>
        <v>No</v>
      </c>
      <c r="J964" t="str">
        <f>IF(Sheet1[[#This Row],[Attendance ]]&lt;65,"Yes","No")</f>
        <v>No</v>
      </c>
    </row>
    <row r="965" spans="1:12" hidden="1" x14ac:dyDescent="0.35">
      <c r="A965" t="s">
        <v>1006</v>
      </c>
      <c r="B965" t="s">
        <v>164</v>
      </c>
      <c r="C965" t="s">
        <v>13</v>
      </c>
      <c r="D965">
        <v>75.930000000000007</v>
      </c>
      <c r="E965" t="s">
        <v>10</v>
      </c>
      <c r="F965">
        <v>7.85</v>
      </c>
      <c r="G965" t="s">
        <v>6</v>
      </c>
      <c r="H965" t="str">
        <f t="shared" si="99"/>
        <v>DBMS</v>
      </c>
      <c r="I965" t="str">
        <f>IF(AND(Sheet1[[#This Row],[Attendance ]]&gt;65,Sheet1[[#This Row],[Attendance ]]&lt;75),"Yes","No")</f>
        <v>No</v>
      </c>
      <c r="J965" t="str">
        <f>IF(Sheet1[[#This Row],[Attendance ]]&lt;65,"Yes","No")</f>
        <v>No</v>
      </c>
    </row>
    <row r="966" spans="1:12" hidden="1" x14ac:dyDescent="0.35">
      <c r="A966" t="s">
        <v>1007</v>
      </c>
      <c r="B966" t="s">
        <v>88</v>
      </c>
      <c r="C966" t="s">
        <v>20</v>
      </c>
      <c r="D966">
        <v>77.45</v>
      </c>
      <c r="E966" t="s">
        <v>5</v>
      </c>
      <c r="F966">
        <v>8.66</v>
      </c>
      <c r="G966" t="s">
        <v>26</v>
      </c>
      <c r="H966" t="str">
        <f t="shared" si="99"/>
        <v>Passed</v>
      </c>
      <c r="I966" t="str">
        <f>IF(AND(Sheet1[[#This Row],[Attendance ]]&gt;65,Sheet1[[#This Row],[Attendance ]]&lt;75),"Yes","No")</f>
        <v>No</v>
      </c>
      <c r="J966" t="str">
        <f>IF(Sheet1[[#This Row],[Attendance ]]&lt;65,"Yes","No")</f>
        <v>No</v>
      </c>
    </row>
    <row r="967" spans="1:12" hidden="1" x14ac:dyDescent="0.35">
      <c r="A967" t="s">
        <v>1008</v>
      </c>
      <c r="B967" t="s">
        <v>164</v>
      </c>
      <c r="C967" t="s">
        <v>4</v>
      </c>
      <c r="D967">
        <v>87.02</v>
      </c>
      <c r="E967" t="s">
        <v>10</v>
      </c>
      <c r="F967">
        <v>6.51</v>
      </c>
      <c r="G967" t="s">
        <v>6</v>
      </c>
      <c r="H967" t="str">
        <f t="shared" si="99"/>
        <v>DBMS</v>
      </c>
      <c r="I967" t="str">
        <f>IF(AND(Sheet1[[#This Row],[Attendance ]]&gt;65,Sheet1[[#This Row],[Attendance ]]&lt;75),"Yes","No")</f>
        <v>No</v>
      </c>
      <c r="J967" t="str">
        <f>IF(Sheet1[[#This Row],[Attendance ]]&lt;65,"Yes","No")</f>
        <v>No</v>
      </c>
    </row>
    <row r="968" spans="1:12" x14ac:dyDescent="0.35">
      <c r="A968" t="s">
        <v>1009</v>
      </c>
      <c r="B968" t="s">
        <v>116</v>
      </c>
      <c r="C968" t="s">
        <v>35</v>
      </c>
      <c r="D968">
        <v>66.709999999999994</v>
      </c>
      <c r="E968" t="s">
        <v>5</v>
      </c>
      <c r="F968">
        <v>5.46</v>
      </c>
      <c r="G968" t="s">
        <v>26</v>
      </c>
      <c r="H968" t="str">
        <f t="shared" si="99"/>
        <v>Passed</v>
      </c>
      <c r="I968" t="str">
        <f>IF(AND(Sheet1[[#This Row],[Attendance ]]&gt;65,Sheet1[[#This Row],[Attendance ]]&lt;75),"Yes","No")</f>
        <v>Yes</v>
      </c>
      <c r="J968" t="str">
        <f>IF(Sheet1[[#This Row],[Attendance ]]&lt;65,"Yes","No")</f>
        <v>No</v>
      </c>
      <c r="K968" t="str">
        <f>CHOOSE(MOD(ROW()-2,8)+1,
"Kadapa",
"Ananthapur",
"Rayachoti",
"Nellore",
"Chittoor",
"Madanapalli",
"Rajampeta",
"Tirupati")</f>
        <v>Rajampeta</v>
      </c>
      <c r="L968" t="str">
        <f>IF(AND(G966="4th Year",E966="Pass",F966&gt;=7),"Yes","No")</f>
        <v>Yes</v>
      </c>
    </row>
    <row r="969" spans="1:12" hidden="1" x14ac:dyDescent="0.35">
      <c r="A969" t="s">
        <v>1010</v>
      </c>
      <c r="B969" t="s">
        <v>110</v>
      </c>
      <c r="C969" t="s">
        <v>23</v>
      </c>
      <c r="D969">
        <v>75.33</v>
      </c>
      <c r="E969" t="s">
        <v>5</v>
      </c>
      <c r="F969">
        <v>6.76</v>
      </c>
      <c r="G969" t="s">
        <v>11</v>
      </c>
      <c r="H969" t="str">
        <f t="shared" si="99"/>
        <v>Passed</v>
      </c>
      <c r="I969" t="str">
        <f>IF(AND(Sheet1[[#This Row],[Attendance ]]&gt;65,Sheet1[[#This Row],[Attendance ]]&lt;75),"Yes","No")</f>
        <v>No</v>
      </c>
      <c r="J969" t="str">
        <f>IF(Sheet1[[#This Row],[Attendance ]]&lt;65,"Yes","No")</f>
        <v>No</v>
      </c>
    </row>
    <row r="970" spans="1:12" hidden="1" x14ac:dyDescent="0.35">
      <c r="A970" t="s">
        <v>1011</v>
      </c>
      <c r="B970" t="s">
        <v>34</v>
      </c>
      <c r="C970" t="s">
        <v>13</v>
      </c>
      <c r="D970">
        <v>87.81</v>
      </c>
      <c r="E970" t="s">
        <v>5</v>
      </c>
      <c r="F970">
        <v>6.03</v>
      </c>
      <c r="G970" t="s">
        <v>11</v>
      </c>
      <c r="H970" t="str">
        <f t="shared" si="99"/>
        <v>Passed</v>
      </c>
      <c r="I970" t="str">
        <f>IF(AND(Sheet1[[#This Row],[Attendance ]]&gt;65,Sheet1[[#This Row],[Attendance ]]&lt;75),"Yes","No")</f>
        <v>No</v>
      </c>
      <c r="J970" t="str">
        <f>IF(Sheet1[[#This Row],[Attendance ]]&lt;65,"Yes","No")</f>
        <v>No</v>
      </c>
    </row>
    <row r="971" spans="1:12" x14ac:dyDescent="0.35">
      <c r="A971" t="s">
        <v>1012</v>
      </c>
      <c r="B971" t="s">
        <v>45</v>
      </c>
      <c r="C971" t="s">
        <v>35</v>
      </c>
      <c r="D971">
        <v>65.53</v>
      </c>
      <c r="E971" t="s">
        <v>5</v>
      </c>
      <c r="F971">
        <v>8.0399999999999991</v>
      </c>
      <c r="G971" t="s">
        <v>6</v>
      </c>
      <c r="H971" t="str">
        <f t="shared" si="99"/>
        <v>Passed</v>
      </c>
      <c r="I971" t="str">
        <f>IF(AND(Sheet1[[#This Row],[Attendance ]]&gt;65,Sheet1[[#This Row],[Attendance ]]&lt;75),"Yes","No")</f>
        <v>Yes</v>
      </c>
      <c r="J971" t="str">
        <f>IF(Sheet1[[#This Row],[Attendance ]]&lt;65,"Yes","No")</f>
        <v>No</v>
      </c>
      <c r="K971" t="str">
        <f>CHOOSE(MOD(ROW()-2,8)+1,
"Kadapa",
"Ananthapur",
"Rayachoti",
"Nellore",
"Chittoor",
"Madanapalli",
"Rajampeta",
"Tirupati")</f>
        <v>Ananthapur</v>
      </c>
      <c r="L971" t="str">
        <f>IF(AND(G969="4th Year",E969="Pass",F969&gt;=7),"Yes","No")</f>
        <v>No</v>
      </c>
    </row>
    <row r="972" spans="1:12" hidden="1" x14ac:dyDescent="0.35">
      <c r="A972" t="s">
        <v>1013</v>
      </c>
      <c r="B972" t="s">
        <v>43</v>
      </c>
      <c r="C972" t="s">
        <v>20</v>
      </c>
      <c r="D972">
        <v>98.27</v>
      </c>
      <c r="E972" t="s">
        <v>5</v>
      </c>
      <c r="F972">
        <v>6.41</v>
      </c>
      <c r="G972" t="s">
        <v>11</v>
      </c>
      <c r="H972" t="str">
        <f t="shared" si="99"/>
        <v>Passed</v>
      </c>
      <c r="I972" t="str">
        <f>IF(AND(Sheet1[[#This Row],[Attendance ]]&gt;65,Sheet1[[#This Row],[Attendance ]]&lt;75),"Yes","No")</f>
        <v>No</v>
      </c>
      <c r="J972" t="str">
        <f>IF(Sheet1[[#This Row],[Attendance ]]&lt;65,"Yes","No")</f>
        <v>No</v>
      </c>
    </row>
    <row r="973" spans="1:12" hidden="1" x14ac:dyDescent="0.35">
      <c r="A973" t="s">
        <v>1014</v>
      </c>
      <c r="B973" t="s">
        <v>98</v>
      </c>
      <c r="C973" t="s">
        <v>23</v>
      </c>
      <c r="D973">
        <v>87.62</v>
      </c>
      <c r="E973" t="s">
        <v>5</v>
      </c>
      <c r="F973">
        <v>5.28</v>
      </c>
      <c r="G973" t="s">
        <v>26</v>
      </c>
      <c r="H973" t="str">
        <f t="shared" si="99"/>
        <v>Passed</v>
      </c>
      <c r="I973" t="str">
        <f>IF(AND(Sheet1[[#This Row],[Attendance ]]&gt;65,Sheet1[[#This Row],[Attendance ]]&lt;75),"Yes","No")</f>
        <v>No</v>
      </c>
      <c r="J973" t="str">
        <f>IF(Sheet1[[#This Row],[Attendance ]]&lt;65,"Yes","No")</f>
        <v>No</v>
      </c>
    </row>
    <row r="974" spans="1:12" hidden="1" x14ac:dyDescent="0.35">
      <c r="A974" t="s">
        <v>1015</v>
      </c>
      <c r="B974" t="s">
        <v>3</v>
      </c>
      <c r="C974" t="s">
        <v>35</v>
      </c>
      <c r="D974">
        <v>78.239999999999995</v>
      </c>
      <c r="E974" t="s">
        <v>5</v>
      </c>
      <c r="F974">
        <v>5.62</v>
      </c>
      <c r="G974" t="s">
        <v>6</v>
      </c>
      <c r="H974" t="str">
        <f t="shared" si="99"/>
        <v>Passed</v>
      </c>
      <c r="I974" t="str">
        <f>IF(AND(Sheet1[[#This Row],[Attendance ]]&gt;65,Sheet1[[#This Row],[Attendance ]]&lt;75),"Yes","No")</f>
        <v>No</v>
      </c>
      <c r="J974" t="str">
        <f>IF(Sheet1[[#This Row],[Attendance ]]&lt;65,"Yes","No")</f>
        <v>No</v>
      </c>
    </row>
    <row r="975" spans="1:12" hidden="1" x14ac:dyDescent="0.35">
      <c r="A975" t="s">
        <v>1016</v>
      </c>
      <c r="B975" t="s">
        <v>17</v>
      </c>
      <c r="C975" t="s">
        <v>4</v>
      </c>
      <c r="D975">
        <v>97.32</v>
      </c>
      <c r="E975" t="s">
        <v>5</v>
      </c>
      <c r="F975">
        <v>8.3699999999999992</v>
      </c>
      <c r="G975" t="s">
        <v>11</v>
      </c>
      <c r="H975" t="str">
        <f t="shared" si="99"/>
        <v>Passed</v>
      </c>
      <c r="I975" t="str">
        <f>IF(AND(Sheet1[[#This Row],[Attendance ]]&gt;65,Sheet1[[#This Row],[Attendance ]]&lt;75),"Yes","No")</f>
        <v>No</v>
      </c>
      <c r="J975" t="str">
        <f>IF(Sheet1[[#This Row],[Attendance ]]&lt;65,"Yes","No")</f>
        <v>No</v>
      </c>
    </row>
    <row r="976" spans="1:12" x14ac:dyDescent="0.35">
      <c r="A976" t="s">
        <v>1017</v>
      </c>
      <c r="B976" t="s">
        <v>22</v>
      </c>
      <c r="C976" t="s">
        <v>20</v>
      </c>
      <c r="D976">
        <v>67.7</v>
      </c>
      <c r="E976" t="s">
        <v>5</v>
      </c>
      <c r="F976">
        <v>9.73</v>
      </c>
      <c r="G976" t="s">
        <v>11</v>
      </c>
      <c r="H976" t="str">
        <f t="shared" si="99"/>
        <v>Passed</v>
      </c>
      <c r="I976" t="str">
        <f>IF(AND(Sheet1[[#This Row],[Attendance ]]&gt;65,Sheet1[[#This Row],[Attendance ]]&lt;75),"Yes","No")</f>
        <v>Yes</v>
      </c>
      <c r="J976" t="str">
        <f>IF(Sheet1[[#This Row],[Attendance ]]&lt;65,"Yes","No")</f>
        <v>No</v>
      </c>
      <c r="K976" t="str">
        <f>CHOOSE(MOD(ROW()-2,8)+1,
"Kadapa",
"Ananthapur",
"Rayachoti",
"Nellore",
"Chittoor",
"Madanapalli",
"Rajampeta",
"Tirupati")</f>
        <v>Rajampeta</v>
      </c>
      <c r="L976" t="str">
        <f>IF(AND(G974="4th Year",E974="Pass",F974&gt;=7),"Yes","No")</f>
        <v>No</v>
      </c>
    </row>
    <row r="977" spans="1:12" hidden="1" x14ac:dyDescent="0.35">
      <c r="A977" t="s">
        <v>1018</v>
      </c>
      <c r="B977" t="s">
        <v>12</v>
      </c>
      <c r="C977" t="s">
        <v>13</v>
      </c>
      <c r="D977">
        <v>87.08</v>
      </c>
      <c r="E977" t="s">
        <v>5</v>
      </c>
      <c r="F977">
        <v>5.23</v>
      </c>
      <c r="G977" t="s">
        <v>26</v>
      </c>
      <c r="H977" t="str">
        <f t="shared" si="99"/>
        <v>Passed</v>
      </c>
      <c r="I977" t="str">
        <f>IF(AND(Sheet1[[#This Row],[Attendance ]]&gt;65,Sheet1[[#This Row],[Attendance ]]&lt;75),"Yes","No")</f>
        <v>No</v>
      </c>
      <c r="J977" t="str">
        <f>IF(Sheet1[[#This Row],[Attendance ]]&lt;65,"Yes","No")</f>
        <v>No</v>
      </c>
    </row>
    <row r="978" spans="1:12" hidden="1" x14ac:dyDescent="0.35">
      <c r="A978" t="s">
        <v>1019</v>
      </c>
      <c r="B978" t="s">
        <v>103</v>
      </c>
      <c r="C978" t="s">
        <v>20</v>
      </c>
      <c r="D978">
        <v>84.56</v>
      </c>
      <c r="E978" t="s">
        <v>10</v>
      </c>
      <c r="F978">
        <v>6.44</v>
      </c>
      <c r="G978" t="s">
        <v>28</v>
      </c>
      <c r="H978" t="str">
        <f t="shared" si="99"/>
        <v>Machine Learning</v>
      </c>
      <c r="I978" t="str">
        <f>IF(AND(Sheet1[[#This Row],[Attendance ]]&gt;65,Sheet1[[#This Row],[Attendance ]]&lt;75),"Yes","No")</f>
        <v>No</v>
      </c>
      <c r="J978" t="str">
        <f>IF(Sheet1[[#This Row],[Attendance ]]&lt;65,"Yes","No")</f>
        <v>No</v>
      </c>
    </row>
    <row r="979" spans="1:12" hidden="1" x14ac:dyDescent="0.35">
      <c r="A979" t="s">
        <v>1020</v>
      </c>
      <c r="B979" t="s">
        <v>116</v>
      </c>
      <c r="C979" t="s">
        <v>20</v>
      </c>
      <c r="D979">
        <v>95.11</v>
      </c>
      <c r="E979" t="s">
        <v>5</v>
      </c>
      <c r="F979">
        <v>5.5</v>
      </c>
      <c r="G979" t="s">
        <v>6</v>
      </c>
      <c r="H979" t="str">
        <f t="shared" si="99"/>
        <v>Passed</v>
      </c>
      <c r="I979" t="str">
        <f>IF(AND(Sheet1[[#This Row],[Attendance ]]&gt;65,Sheet1[[#This Row],[Attendance ]]&lt;75),"Yes","No")</f>
        <v>No</v>
      </c>
      <c r="J979" t="str">
        <f>IF(Sheet1[[#This Row],[Attendance ]]&lt;65,"Yes","No")</f>
        <v>No</v>
      </c>
    </row>
    <row r="980" spans="1:12" x14ac:dyDescent="0.35">
      <c r="A980" t="s">
        <v>1021</v>
      </c>
      <c r="B980" t="s">
        <v>164</v>
      </c>
      <c r="C980" t="s">
        <v>9</v>
      </c>
      <c r="D980">
        <v>70.42</v>
      </c>
      <c r="E980" t="s">
        <v>5</v>
      </c>
      <c r="F980">
        <v>8.52</v>
      </c>
      <c r="G980" t="s">
        <v>6</v>
      </c>
      <c r="H980" t="str">
        <f t="shared" si="99"/>
        <v>Passed</v>
      </c>
      <c r="I980" t="str">
        <f>IF(AND(Sheet1[[#This Row],[Attendance ]]&gt;65,Sheet1[[#This Row],[Attendance ]]&lt;75),"Yes","No")</f>
        <v>Yes</v>
      </c>
      <c r="J980" t="str">
        <f>IF(Sheet1[[#This Row],[Attendance ]]&lt;65,"Yes","No")</f>
        <v>No</v>
      </c>
      <c r="K980" t="str">
        <f t="shared" ref="K980:K982" si="100">CHOOSE(MOD(ROW()-2,8)+1,
"Kadapa",
"Ananthapur",
"Rayachoti",
"Nellore",
"Chittoor",
"Madanapalli",
"Rajampeta",
"Tirupati")</f>
        <v>Rayachoti</v>
      </c>
      <c r="L980" t="str">
        <f t="shared" ref="L980:L982" si="101">IF(AND(G978="4th Year",E978="Pass",F978&gt;=7),"Yes","No")</f>
        <v>No</v>
      </c>
    </row>
    <row r="981" spans="1:12" x14ac:dyDescent="0.35">
      <c r="A981" t="s">
        <v>1022</v>
      </c>
      <c r="B981" t="s">
        <v>12</v>
      </c>
      <c r="C981" t="s">
        <v>13</v>
      </c>
      <c r="D981">
        <v>67.040000000000006</v>
      </c>
      <c r="E981" t="s">
        <v>5</v>
      </c>
      <c r="F981">
        <v>5.26</v>
      </c>
      <c r="G981" t="s">
        <v>28</v>
      </c>
      <c r="H981" t="str">
        <f t="shared" si="99"/>
        <v>Passed</v>
      </c>
      <c r="I981" t="str">
        <f>IF(AND(Sheet1[[#This Row],[Attendance ]]&gt;65,Sheet1[[#This Row],[Attendance ]]&lt;75),"Yes","No")</f>
        <v>Yes</v>
      </c>
      <c r="J981" t="str">
        <f>IF(Sheet1[[#This Row],[Attendance ]]&lt;65,"Yes","No")</f>
        <v>No</v>
      </c>
      <c r="K981" t="str">
        <f t="shared" si="100"/>
        <v>Nellore</v>
      </c>
      <c r="L981" t="str">
        <f t="shared" si="101"/>
        <v>No</v>
      </c>
    </row>
    <row r="982" spans="1:12" x14ac:dyDescent="0.35">
      <c r="A982" t="s">
        <v>1023</v>
      </c>
      <c r="B982" t="s">
        <v>88</v>
      </c>
      <c r="C982" t="s">
        <v>9</v>
      </c>
      <c r="D982">
        <v>73.349999999999994</v>
      </c>
      <c r="E982" t="s">
        <v>5</v>
      </c>
      <c r="F982">
        <v>5.63</v>
      </c>
      <c r="G982" t="s">
        <v>11</v>
      </c>
      <c r="H982" t="str">
        <f t="shared" si="99"/>
        <v>Passed</v>
      </c>
      <c r="I982" t="str">
        <f>IF(AND(Sheet1[[#This Row],[Attendance ]]&gt;65,Sheet1[[#This Row],[Attendance ]]&lt;75),"Yes","No")</f>
        <v>Yes</v>
      </c>
      <c r="J982" t="str">
        <f>IF(Sheet1[[#This Row],[Attendance ]]&lt;65,"Yes","No")</f>
        <v>No</v>
      </c>
      <c r="K982" t="str">
        <f t="shared" si="100"/>
        <v>Chittoor</v>
      </c>
      <c r="L982" t="str">
        <f t="shared" si="101"/>
        <v>No</v>
      </c>
    </row>
    <row r="983" spans="1:12" hidden="1" x14ac:dyDescent="0.35">
      <c r="A983" t="s">
        <v>1024</v>
      </c>
      <c r="B983" t="s">
        <v>149</v>
      </c>
      <c r="C983" t="s">
        <v>13</v>
      </c>
      <c r="D983">
        <v>98.25</v>
      </c>
      <c r="E983" t="s">
        <v>5</v>
      </c>
      <c r="F983">
        <v>9.5399999999999991</v>
      </c>
      <c r="G983" t="s">
        <v>26</v>
      </c>
      <c r="H983" t="str">
        <f t="shared" si="99"/>
        <v>Passed</v>
      </c>
      <c r="I983" t="str">
        <f>IF(AND(Sheet1[[#This Row],[Attendance ]]&gt;65,Sheet1[[#This Row],[Attendance ]]&lt;75),"Yes","No")</f>
        <v>No</v>
      </c>
      <c r="J983" t="str">
        <f>IF(Sheet1[[#This Row],[Attendance ]]&lt;65,"Yes","No")</f>
        <v>No</v>
      </c>
    </row>
    <row r="984" spans="1:12" hidden="1" x14ac:dyDescent="0.35">
      <c r="A984" t="s">
        <v>1025</v>
      </c>
      <c r="B984" t="s">
        <v>25</v>
      </c>
      <c r="C984" t="s">
        <v>35</v>
      </c>
      <c r="D984">
        <v>81.760000000000005</v>
      </c>
      <c r="E984" t="s">
        <v>5</v>
      </c>
      <c r="F984">
        <v>5.47</v>
      </c>
      <c r="G984" t="s">
        <v>26</v>
      </c>
      <c r="H984" t="str">
        <f t="shared" si="99"/>
        <v>Passed</v>
      </c>
      <c r="I984" t="str">
        <f>IF(AND(Sheet1[[#This Row],[Attendance ]]&gt;65,Sheet1[[#This Row],[Attendance ]]&lt;75),"Yes","No")</f>
        <v>No</v>
      </c>
      <c r="J984" t="str">
        <f>IF(Sheet1[[#This Row],[Attendance ]]&lt;65,"Yes","No")</f>
        <v>No</v>
      </c>
    </row>
    <row r="985" spans="1:12" hidden="1" x14ac:dyDescent="0.35">
      <c r="A985" t="s">
        <v>1026</v>
      </c>
      <c r="B985" t="s">
        <v>98</v>
      </c>
      <c r="C985" t="s">
        <v>20</v>
      </c>
      <c r="D985">
        <v>97.9</v>
      </c>
      <c r="E985" t="s">
        <v>5</v>
      </c>
      <c r="F985">
        <v>5.69</v>
      </c>
      <c r="G985" t="s">
        <v>6</v>
      </c>
      <c r="H985" t="str">
        <f t="shared" si="99"/>
        <v>Passed</v>
      </c>
      <c r="I985" t="str">
        <f>IF(AND(Sheet1[[#This Row],[Attendance ]]&gt;65,Sheet1[[#This Row],[Attendance ]]&lt;75),"Yes","No")</f>
        <v>No</v>
      </c>
      <c r="J985" t="str">
        <f>IF(Sheet1[[#This Row],[Attendance ]]&lt;65,"Yes","No")</f>
        <v>No</v>
      </c>
    </row>
    <row r="986" spans="1:12" hidden="1" x14ac:dyDescent="0.35">
      <c r="A986" t="s">
        <v>1027</v>
      </c>
      <c r="B986" t="s">
        <v>17</v>
      </c>
      <c r="C986" t="s">
        <v>9</v>
      </c>
      <c r="D986">
        <v>91.48</v>
      </c>
      <c r="E986" t="s">
        <v>5</v>
      </c>
      <c r="F986">
        <v>9.6199999999999992</v>
      </c>
      <c r="G986" t="s">
        <v>28</v>
      </c>
      <c r="H986" t="str">
        <f t="shared" si="99"/>
        <v>Passed</v>
      </c>
      <c r="I986" t="str">
        <f>IF(AND(Sheet1[[#This Row],[Attendance ]]&gt;65,Sheet1[[#This Row],[Attendance ]]&lt;75),"Yes","No")</f>
        <v>No</v>
      </c>
      <c r="J986" t="str">
        <f>IF(Sheet1[[#This Row],[Attendance ]]&lt;65,"Yes","No")</f>
        <v>No</v>
      </c>
    </row>
    <row r="987" spans="1:12" hidden="1" x14ac:dyDescent="0.35">
      <c r="A987" t="s">
        <v>1028</v>
      </c>
      <c r="B987" t="s">
        <v>3</v>
      </c>
      <c r="C987" t="s">
        <v>13</v>
      </c>
      <c r="D987">
        <v>86.33</v>
      </c>
      <c r="E987" t="s">
        <v>5</v>
      </c>
      <c r="F987">
        <v>6.96</v>
      </c>
      <c r="G987" t="s">
        <v>26</v>
      </c>
      <c r="H987" t="str">
        <f t="shared" si="99"/>
        <v>Passed</v>
      </c>
      <c r="I987" t="str">
        <f>IF(AND(Sheet1[[#This Row],[Attendance ]]&gt;65,Sheet1[[#This Row],[Attendance ]]&lt;75),"Yes","No")</f>
        <v>No</v>
      </c>
      <c r="J987" t="str">
        <f>IF(Sheet1[[#This Row],[Attendance ]]&lt;65,"Yes","No")</f>
        <v>No</v>
      </c>
    </row>
    <row r="988" spans="1:12" x14ac:dyDescent="0.35">
      <c r="A988" t="s">
        <v>1029</v>
      </c>
      <c r="B988" t="s">
        <v>164</v>
      </c>
      <c r="C988" t="s">
        <v>35</v>
      </c>
      <c r="D988">
        <v>74.44</v>
      </c>
      <c r="E988" t="s">
        <v>5</v>
      </c>
      <c r="F988">
        <v>8.34</v>
      </c>
      <c r="G988" t="s">
        <v>6</v>
      </c>
      <c r="H988" t="str">
        <f t="shared" si="99"/>
        <v>Passed</v>
      </c>
      <c r="I988" t="str">
        <f>IF(AND(Sheet1[[#This Row],[Attendance ]]&gt;65,Sheet1[[#This Row],[Attendance ]]&lt;75),"Yes","No")</f>
        <v>Yes</v>
      </c>
      <c r="J988" t="str">
        <f>IF(Sheet1[[#This Row],[Attendance ]]&lt;65,"Yes","No")</f>
        <v>No</v>
      </c>
      <c r="K988" t="str">
        <f>CHOOSE(MOD(ROW()-2,8)+1,
"Kadapa",
"Ananthapur",
"Rayachoti",
"Nellore",
"Chittoor",
"Madanapalli",
"Rajampeta",
"Tirupati")</f>
        <v>Rayachoti</v>
      </c>
      <c r="L988" t="str">
        <f>IF(AND(G986="4th Year",E986="Pass",F986&gt;=7),"Yes","No")</f>
        <v>No</v>
      </c>
    </row>
    <row r="989" spans="1:12" hidden="1" x14ac:dyDescent="0.35">
      <c r="A989" t="s">
        <v>1030</v>
      </c>
      <c r="B989" t="s">
        <v>149</v>
      </c>
      <c r="C989" t="s">
        <v>35</v>
      </c>
      <c r="D989">
        <v>87.63</v>
      </c>
      <c r="E989" t="s">
        <v>5</v>
      </c>
      <c r="F989">
        <v>7.87</v>
      </c>
      <c r="G989" t="s">
        <v>26</v>
      </c>
      <c r="H989" t="str">
        <f t="shared" si="99"/>
        <v>Passed</v>
      </c>
      <c r="I989" t="str">
        <f>IF(AND(Sheet1[[#This Row],[Attendance ]]&gt;65,Sheet1[[#This Row],[Attendance ]]&lt;75),"Yes","No")</f>
        <v>No</v>
      </c>
      <c r="J989" t="str">
        <f>IF(Sheet1[[#This Row],[Attendance ]]&lt;65,"Yes","No")</f>
        <v>No</v>
      </c>
    </row>
    <row r="990" spans="1:12" hidden="1" x14ac:dyDescent="0.35">
      <c r="A990" t="s">
        <v>1031</v>
      </c>
      <c r="B990" t="s">
        <v>72</v>
      </c>
      <c r="C990" t="s">
        <v>13</v>
      </c>
      <c r="D990">
        <v>91.39</v>
      </c>
      <c r="E990" t="s">
        <v>5</v>
      </c>
      <c r="F990">
        <v>6.99</v>
      </c>
      <c r="G990" t="s">
        <v>6</v>
      </c>
      <c r="H990" t="str">
        <f t="shared" si="99"/>
        <v>Passed</v>
      </c>
      <c r="I990" t="str">
        <f>IF(AND(Sheet1[[#This Row],[Attendance ]]&gt;65,Sheet1[[#This Row],[Attendance ]]&lt;75),"Yes","No")</f>
        <v>No</v>
      </c>
      <c r="J990" t="str">
        <f>IF(Sheet1[[#This Row],[Attendance ]]&lt;65,"Yes","No")</f>
        <v>No</v>
      </c>
    </row>
    <row r="991" spans="1:12" x14ac:dyDescent="0.35">
      <c r="A991" t="s">
        <v>1032</v>
      </c>
      <c r="B991" t="s">
        <v>43</v>
      </c>
      <c r="C991" t="s">
        <v>35</v>
      </c>
      <c r="D991">
        <v>71.849999999999994</v>
      </c>
      <c r="E991" t="s">
        <v>5</v>
      </c>
      <c r="F991">
        <v>9.7100000000000009</v>
      </c>
      <c r="G991" t="s">
        <v>6</v>
      </c>
      <c r="H991" t="str">
        <f t="shared" si="99"/>
        <v>Passed</v>
      </c>
      <c r="I991" t="str">
        <f>IF(AND(Sheet1[[#This Row],[Attendance ]]&gt;65,Sheet1[[#This Row],[Attendance ]]&lt;75),"Yes","No")</f>
        <v>Yes</v>
      </c>
      <c r="J991" t="str">
        <f>IF(Sheet1[[#This Row],[Attendance ]]&lt;65,"Yes","No")</f>
        <v>No</v>
      </c>
      <c r="K991" t="str">
        <f t="shared" ref="K991:K992" si="102">CHOOSE(MOD(ROW()-2,8)+1,
"Kadapa",
"Ananthapur",
"Rayachoti",
"Nellore",
"Chittoor",
"Madanapalli",
"Rajampeta",
"Tirupati")</f>
        <v>Madanapalli</v>
      </c>
      <c r="L991" t="str">
        <f t="shared" ref="L991:L992" si="103">IF(AND(G989="4th Year",E989="Pass",F989&gt;=7),"Yes","No")</f>
        <v>Yes</v>
      </c>
    </row>
    <row r="992" spans="1:12" x14ac:dyDescent="0.35">
      <c r="A992" t="s">
        <v>1033</v>
      </c>
      <c r="B992" t="s">
        <v>22</v>
      </c>
      <c r="C992" t="s">
        <v>13</v>
      </c>
      <c r="D992">
        <v>73.91</v>
      </c>
      <c r="E992" t="s">
        <v>5</v>
      </c>
      <c r="F992">
        <v>7.75</v>
      </c>
      <c r="G992" t="s">
        <v>11</v>
      </c>
      <c r="H992" t="str">
        <f t="shared" si="99"/>
        <v>Passed</v>
      </c>
      <c r="I992" t="str">
        <f>IF(AND(Sheet1[[#This Row],[Attendance ]]&gt;65,Sheet1[[#This Row],[Attendance ]]&lt;75),"Yes","No")</f>
        <v>Yes</v>
      </c>
      <c r="J992" t="str">
        <f>IF(Sheet1[[#This Row],[Attendance ]]&lt;65,"Yes","No")</f>
        <v>No</v>
      </c>
      <c r="K992" t="str">
        <f t="shared" si="102"/>
        <v>Rajampeta</v>
      </c>
      <c r="L992" t="str">
        <f t="shared" si="103"/>
        <v>No</v>
      </c>
    </row>
    <row r="993" spans="1:12" hidden="1" x14ac:dyDescent="0.35">
      <c r="A993" t="s">
        <v>1034</v>
      </c>
      <c r="B993" t="s">
        <v>88</v>
      </c>
      <c r="C993" t="s">
        <v>9</v>
      </c>
      <c r="D993">
        <v>62.56</v>
      </c>
      <c r="E993" t="s">
        <v>5</v>
      </c>
      <c r="F993">
        <v>7.56</v>
      </c>
      <c r="G993" t="s">
        <v>11</v>
      </c>
      <c r="H993" t="str">
        <f t="shared" si="99"/>
        <v>Passed</v>
      </c>
      <c r="I993" t="str">
        <f>IF(AND(Sheet1[[#This Row],[Attendance ]]&gt;65,Sheet1[[#This Row],[Attendance ]]&lt;75),"Yes","No")</f>
        <v>No</v>
      </c>
      <c r="J993" t="str">
        <f>IF(Sheet1[[#This Row],[Attendance ]]&lt;65,"Yes","No")</f>
        <v>Yes</v>
      </c>
    </row>
    <row r="994" spans="1:12" hidden="1" x14ac:dyDescent="0.35">
      <c r="A994" t="s">
        <v>1035</v>
      </c>
      <c r="B994" t="s">
        <v>43</v>
      </c>
      <c r="C994" t="s">
        <v>20</v>
      </c>
      <c r="D994">
        <v>90.34</v>
      </c>
      <c r="E994" t="s">
        <v>5</v>
      </c>
      <c r="F994">
        <v>6.12</v>
      </c>
      <c r="G994" t="s">
        <v>6</v>
      </c>
      <c r="H994" t="str">
        <f t="shared" si="99"/>
        <v>Passed</v>
      </c>
      <c r="I994" t="str">
        <f>IF(AND(Sheet1[[#This Row],[Attendance ]]&gt;65,Sheet1[[#This Row],[Attendance ]]&lt;75),"Yes","No")</f>
        <v>No</v>
      </c>
      <c r="J994" t="str">
        <f>IF(Sheet1[[#This Row],[Attendance ]]&lt;65,"Yes","No")</f>
        <v>No</v>
      </c>
    </row>
    <row r="995" spans="1:12" hidden="1" x14ac:dyDescent="0.35">
      <c r="A995" t="s">
        <v>1036</v>
      </c>
      <c r="B995" t="s">
        <v>164</v>
      </c>
      <c r="C995" t="s">
        <v>9</v>
      </c>
      <c r="D995">
        <v>84.23</v>
      </c>
      <c r="E995" t="s">
        <v>5</v>
      </c>
      <c r="F995">
        <v>7.65</v>
      </c>
      <c r="G995" t="s">
        <v>6</v>
      </c>
      <c r="H995" t="str">
        <f t="shared" si="99"/>
        <v>Passed</v>
      </c>
      <c r="I995" t="str">
        <f>IF(AND(Sheet1[[#This Row],[Attendance ]]&gt;65,Sheet1[[#This Row],[Attendance ]]&lt;75),"Yes","No")</f>
        <v>No</v>
      </c>
      <c r="J995" t="str">
        <f>IF(Sheet1[[#This Row],[Attendance ]]&lt;65,"Yes","No")</f>
        <v>No</v>
      </c>
    </row>
    <row r="996" spans="1:12" hidden="1" x14ac:dyDescent="0.35">
      <c r="A996" t="s">
        <v>1037</v>
      </c>
      <c r="B996" t="s">
        <v>37</v>
      </c>
      <c r="C996" t="s">
        <v>9</v>
      </c>
      <c r="D996">
        <v>98.8</v>
      </c>
      <c r="E996" t="s">
        <v>5</v>
      </c>
      <c r="F996">
        <v>8.69</v>
      </c>
      <c r="G996" t="s">
        <v>26</v>
      </c>
      <c r="H996" t="str">
        <f t="shared" si="99"/>
        <v>Passed</v>
      </c>
      <c r="I996" t="str">
        <f>IF(AND(Sheet1[[#This Row],[Attendance ]]&gt;65,Sheet1[[#This Row],[Attendance ]]&lt;75),"Yes","No")</f>
        <v>No</v>
      </c>
      <c r="J996" t="str">
        <f>IF(Sheet1[[#This Row],[Attendance ]]&lt;65,"Yes","No")</f>
        <v>No</v>
      </c>
    </row>
    <row r="997" spans="1:12" hidden="1" x14ac:dyDescent="0.35">
      <c r="A997" t="s">
        <v>1038</v>
      </c>
      <c r="B997" t="s">
        <v>103</v>
      </c>
      <c r="C997" t="s">
        <v>9</v>
      </c>
      <c r="D997">
        <v>86.93</v>
      </c>
      <c r="E997" t="s">
        <v>10</v>
      </c>
      <c r="F997">
        <v>7.54</v>
      </c>
      <c r="G997" t="s">
        <v>26</v>
      </c>
      <c r="H997" t="str">
        <f t="shared" si="99"/>
        <v>Deep Learning</v>
      </c>
      <c r="I997" t="str">
        <f>IF(AND(Sheet1[[#This Row],[Attendance ]]&gt;65,Sheet1[[#This Row],[Attendance ]]&lt;75),"Yes","No")</f>
        <v>No</v>
      </c>
      <c r="J997" t="str">
        <f>IF(Sheet1[[#This Row],[Attendance ]]&lt;65,"Yes","No")</f>
        <v>No</v>
      </c>
    </row>
    <row r="998" spans="1:12" hidden="1" x14ac:dyDescent="0.35">
      <c r="A998" t="s">
        <v>1039</v>
      </c>
      <c r="B998" t="s">
        <v>34</v>
      </c>
      <c r="C998" t="s">
        <v>13</v>
      </c>
      <c r="D998">
        <v>87.04</v>
      </c>
      <c r="E998" t="s">
        <v>5</v>
      </c>
      <c r="F998">
        <v>7.98</v>
      </c>
      <c r="G998" t="s">
        <v>6</v>
      </c>
      <c r="H998" t="str">
        <f t="shared" si="99"/>
        <v>Passed</v>
      </c>
      <c r="I998" t="str">
        <f>IF(AND(Sheet1[[#This Row],[Attendance ]]&gt;65,Sheet1[[#This Row],[Attendance ]]&lt;75),"Yes","No")</f>
        <v>No</v>
      </c>
      <c r="J998" t="str">
        <f>IF(Sheet1[[#This Row],[Attendance ]]&lt;65,"Yes","No")</f>
        <v>No</v>
      </c>
    </row>
    <row r="999" spans="1:12" hidden="1" x14ac:dyDescent="0.35">
      <c r="A999" t="s">
        <v>1040</v>
      </c>
      <c r="B999" t="s">
        <v>110</v>
      </c>
      <c r="C999" t="s">
        <v>23</v>
      </c>
      <c r="D999">
        <v>64.92</v>
      </c>
      <c r="E999" t="s">
        <v>5</v>
      </c>
      <c r="F999">
        <v>8.83</v>
      </c>
      <c r="G999" t="s">
        <v>26</v>
      </c>
      <c r="H999" t="str">
        <f t="shared" si="99"/>
        <v>Passed</v>
      </c>
      <c r="I999" t="str">
        <f>IF(AND(Sheet1[[#This Row],[Attendance ]]&gt;65,Sheet1[[#This Row],[Attendance ]]&lt;75),"Yes","No")</f>
        <v>No</v>
      </c>
      <c r="J999" t="str">
        <f>IF(Sheet1[[#This Row],[Attendance ]]&lt;65,"Yes","No")</f>
        <v>Yes</v>
      </c>
    </row>
    <row r="1000" spans="1:12" x14ac:dyDescent="0.35">
      <c r="A1000" t="s">
        <v>1041</v>
      </c>
      <c r="B1000" t="s">
        <v>37</v>
      </c>
      <c r="C1000" t="s">
        <v>9</v>
      </c>
      <c r="D1000">
        <v>73.86</v>
      </c>
      <c r="E1000" t="s">
        <v>5</v>
      </c>
      <c r="F1000">
        <v>5.21</v>
      </c>
      <c r="G1000" t="s">
        <v>11</v>
      </c>
      <c r="H1000" t="str">
        <f t="shared" si="99"/>
        <v>Passed</v>
      </c>
      <c r="I1000" t="str">
        <f>IF(AND(Sheet1[[#This Row],[Attendance ]]&gt;65,Sheet1[[#This Row],[Attendance ]]&lt;75),"Yes","No")</f>
        <v>Yes</v>
      </c>
      <c r="J1000" t="str">
        <f>IF(Sheet1[[#This Row],[Attendance ]]&lt;65,"Yes","No")</f>
        <v>No</v>
      </c>
      <c r="K1000" t="str">
        <f t="shared" ref="K1000:K1001" si="104">CHOOSE(MOD(ROW()-2,8)+1,
"Kadapa",
"Ananthapur",
"Rayachoti",
"Nellore",
"Chittoor",
"Madanapalli",
"Rajampeta",
"Tirupati")</f>
        <v>Rajampeta</v>
      </c>
      <c r="L1000" t="str">
        <f t="shared" ref="L1000:L1001" si="105">IF(AND(G998="4th Year",E998="Pass",F998&gt;=7),"Yes","No")</f>
        <v>No</v>
      </c>
    </row>
    <row r="1001" spans="1:12" x14ac:dyDescent="0.35">
      <c r="A1001" t="s">
        <v>1042</v>
      </c>
      <c r="B1001" t="s">
        <v>34</v>
      </c>
      <c r="C1001" t="s">
        <v>23</v>
      </c>
      <c r="D1001">
        <v>65.31</v>
      </c>
      <c r="E1001" t="s">
        <v>10</v>
      </c>
      <c r="F1001">
        <v>6.12</v>
      </c>
      <c r="G1001" t="s">
        <v>26</v>
      </c>
      <c r="H1001" t="str">
        <f t="shared" si="99"/>
        <v>Deep Learning</v>
      </c>
      <c r="I1001" t="str">
        <f>IF(AND(Sheet1[[#This Row],[Attendance ]]&gt;65,Sheet1[[#This Row],[Attendance ]]&lt;75),"Yes","No")</f>
        <v>Yes</v>
      </c>
      <c r="J1001" t="str">
        <f>IF(Sheet1[[#This Row],[Attendance ]]&lt;65,"Yes","No")</f>
        <v>No</v>
      </c>
      <c r="K1001" t="str">
        <f t="shared" si="104"/>
        <v>Tirupati</v>
      </c>
      <c r="L1001" t="str">
        <f t="shared" si="105"/>
        <v>Yes</v>
      </c>
    </row>
    <row r="1002" spans="1:12" hidden="1" x14ac:dyDescent="0.35">
      <c r="H1002" t="str">
        <f t="shared" ref="H1002:H1003" si="106">IF(E1002="Pass","Passed",
IF(G1002="1st Year","M1",
IF(G1002="2nd Year","DBMS",
IF(G1002="3rd Year","Machine Learning",
IF(G1002="4th Year","Deep Learning","")))))</f>
        <v/>
      </c>
    </row>
    <row r="1003" spans="1:12" hidden="1" x14ac:dyDescent="0.35">
      <c r="H1003" t="str">
        <f t="shared" si="106"/>
        <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D36E1A252D9EC4EBCE3BC58E93A84A1" ma:contentTypeVersion="3" ma:contentTypeDescription="Create a new document." ma:contentTypeScope="" ma:versionID="f71a2dddd7d5b36f1d6d5f6177b4cff8">
  <xsd:schema xmlns:xsd="http://www.w3.org/2001/XMLSchema" xmlns:xs="http://www.w3.org/2001/XMLSchema" xmlns:p="http://schemas.microsoft.com/office/2006/metadata/properties" xmlns:ns3="41ec64c8-2cd3-47e6-b517-ba12a4e3b60c" targetNamespace="http://schemas.microsoft.com/office/2006/metadata/properties" ma:root="true" ma:fieldsID="af63eb8485dc5e6440fe70bcff71a31f" ns3:_="">
    <xsd:import namespace="41ec64c8-2cd3-47e6-b517-ba12a4e3b60c"/>
    <xsd:element name="properties">
      <xsd:complexType>
        <xsd:sequence>
          <xsd:element name="documentManagement">
            <xsd:complexType>
              <xsd:all>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ec64c8-2cd3-47e6-b517-ba12a4e3b6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C3A944-3055-4CEF-AB08-EEFEEF7C87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ec64c8-2cd3-47e6-b517-ba12a4e3b6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64C9359-6EFB-45FB-ADBA-75F1A7CFEE6C}">
  <ds:schemaRefs>
    <ds:schemaRef ds:uri="http://schemas.microsoft.com/DataMashup"/>
  </ds:schemaRefs>
</ds:datastoreItem>
</file>

<file path=customXml/itemProps3.xml><?xml version="1.0" encoding="utf-8"?>
<ds:datastoreItem xmlns:ds="http://schemas.openxmlformats.org/officeDocument/2006/customXml" ds:itemID="{A9413640-BB39-403B-9DC4-1DE64575BDDE}">
  <ds:schemaRefs>
    <ds:schemaRef ds:uri="http://schemas.microsoft.com/office/2006/documentManagement/types"/>
    <ds:schemaRef ds:uri="http://schemas.microsoft.com/office/2006/metadata/properties"/>
    <ds:schemaRef ds:uri="http://www.w3.org/XML/1998/namespace"/>
    <ds:schemaRef ds:uri="http://purl.org/dc/elements/1.1/"/>
    <ds:schemaRef ds:uri="http://schemas.microsoft.com/office/infopath/2007/PartnerControls"/>
    <ds:schemaRef ds:uri="http://schemas.openxmlformats.org/package/2006/metadata/core-properties"/>
    <ds:schemaRef ds:uri="41ec64c8-2cd3-47e6-b517-ba12a4e3b60c"/>
    <ds:schemaRef ds:uri="http://purl.org/dc/dcmitype/"/>
    <ds:schemaRef ds:uri="http://purl.org/dc/terms/"/>
  </ds:schemaRefs>
</ds:datastoreItem>
</file>

<file path=customXml/itemProps4.xml><?xml version="1.0" encoding="utf-8"?>
<ds:datastoreItem xmlns:ds="http://schemas.openxmlformats.org/officeDocument/2006/customXml" ds:itemID="{AD0BD409-BF9F-414A-AB05-144433867E5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 students by branch</vt:lpstr>
      <vt:lpstr>Branch by Pass&amp;Failed</vt:lpstr>
      <vt:lpstr>Sum of Condonation by Branch</vt:lpstr>
      <vt:lpstr>Passed by Year</vt:lpstr>
      <vt:lpstr>Pass&amp;Fail percentage  by colleg</vt:lpstr>
      <vt:lpstr>Sum of Count by Most Failed Sub</vt:lpstr>
      <vt:lpstr>SVCET DASHBOARD</vt:lpstr>
      <vt:lpstr>Total Count by Location</vt:lpstr>
      <vt:lpstr>Sheet5</vt:lpstr>
      <vt:lpstr>Svcet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23781A32C1</dc:creator>
  <cp:lastModifiedBy>23781A32C1</cp:lastModifiedBy>
  <dcterms:created xsi:type="dcterms:W3CDTF">2025-12-30T04:47:48Z</dcterms:created>
  <dcterms:modified xsi:type="dcterms:W3CDTF">2026-01-01T01:36:54Z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0x0101007D36E1A252D9EC4EBCE3BC58E93A84A1</vt:lpwstr>
  </property>
</Properties>
</file>